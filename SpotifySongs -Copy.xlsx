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Ex6.xml" ContentType="application/vnd.ms-office.chartex+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Ex7.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vabe\Downloads\"/>
    </mc:Choice>
  </mc:AlternateContent>
  <xr:revisionPtr revIDLastSave="0" documentId="8_{E2A2C455-A817-4E69-93AA-11FF3E23B33E}" xr6:coauthVersionLast="47" xr6:coauthVersionMax="47" xr10:uidLastSave="{00000000-0000-0000-0000-000000000000}"/>
  <bookViews>
    <workbookView xWindow="-110" yWindow="-110" windowWidth="19420" windowHeight="11500" firstSheet="6" activeTab="8" xr2:uid="{989A5132-22C4-0840-882C-15A6894C5D6E}"/>
  </bookViews>
  <sheets>
    <sheet name="Data Dictionary" sheetId="2" r:id="rId1"/>
    <sheet name="Data" sheetId="1" r:id="rId2"/>
    <sheet name="Cleansed Data" sheetId="6" r:id="rId3"/>
    <sheet name="Categorical Data" sheetId="8" r:id="rId4"/>
    <sheet name="Numerical Data" sheetId="7" r:id="rId5"/>
    <sheet name="Correlation" sheetId="9" r:id="rId6"/>
    <sheet name="ANOVA" sheetId="10" r:id="rId7"/>
    <sheet name="Dummy Variables" sheetId="11" r:id="rId8"/>
    <sheet name="Regression" sheetId="15" r:id="rId9"/>
    <sheet name="Assumptions" sheetId="13" r:id="rId10"/>
  </sheets>
  <definedNames>
    <definedName name="_xlnm._FilterDatabase" localSheetId="6" hidden="1">ANOVA!$A$1:$A$150</definedName>
    <definedName name="_xlnm._FilterDatabase" localSheetId="2" hidden="1">'Cleansed Data'!$A$1:$H$150</definedName>
    <definedName name="_xlnm._FilterDatabase" localSheetId="7" hidden="1">'Dummy Variables'!$C$1:$C$150</definedName>
    <definedName name="_xlchart.v1.0" hidden="1">'Cleansed Data'!$G$1</definedName>
    <definedName name="_xlchart.v1.1" hidden="1">'Cleansed Data'!$G$2:$G$150</definedName>
    <definedName name="_xlchart.v1.10" hidden="1">'Cleansed Data'!$F$1</definedName>
    <definedName name="_xlchart.v1.11" hidden="1">'Cleansed Data'!$F$2:$F$150</definedName>
    <definedName name="_xlchart.v1.12" hidden="1">Assumptions!$F$2:$F$152</definedName>
    <definedName name="_xlchart.v1.2" hidden="1">'Cleansed Data'!$E$1</definedName>
    <definedName name="_xlchart.v1.3" hidden="1">'Cleansed Data'!$E$2:$E$150</definedName>
    <definedName name="_xlchart.v1.4" hidden="1">'Cleansed Data'!$C$1</definedName>
    <definedName name="_xlchart.v1.5" hidden="1">'Cleansed Data'!$C$2:$C$150</definedName>
    <definedName name="_xlchart.v1.6" hidden="1">'Cleansed Data'!$H$1</definedName>
    <definedName name="_xlchart.v1.7" hidden="1">'Cleansed Data'!$H$2:$H$150</definedName>
    <definedName name="_xlchart.v1.8" hidden="1">'Cleansed Data'!$C$1</definedName>
    <definedName name="_xlchart.v1.9" hidden="1">'Cleansed Data'!$C$2:$C$150</definedName>
  </definedName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1" l="1"/>
  <c r="B5" i="11"/>
  <c r="B4"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2" i="11"/>
  <c r="E4" i="11"/>
  <c r="G2" i="11"/>
  <c r="E2" i="11" s="1"/>
  <c r="L2" i="11"/>
  <c r="F2" i="11"/>
  <c r="D2" i="11"/>
  <c r="E3" i="11"/>
  <c r="G3" i="11"/>
  <c r="L3" i="11"/>
  <c r="F3" i="11"/>
  <c r="D3" i="11"/>
  <c r="G4" i="11"/>
  <c r="L4" i="11"/>
  <c r="F4" i="11"/>
  <c r="D4" i="11"/>
  <c r="E5" i="11"/>
  <c r="G5" i="11"/>
  <c r="L5" i="11"/>
  <c r="F5" i="11"/>
  <c r="D5" i="11"/>
  <c r="E6" i="11"/>
  <c r="G6" i="11"/>
  <c r="L6" i="11"/>
  <c r="F6" i="11"/>
  <c r="D6" i="11"/>
  <c r="E7" i="11"/>
  <c r="G7" i="11"/>
  <c r="L7" i="11"/>
  <c r="F7" i="11"/>
  <c r="D7" i="11"/>
  <c r="E8" i="11"/>
  <c r="G8" i="11"/>
  <c r="L8" i="11"/>
  <c r="F8" i="11"/>
  <c r="D8" i="11"/>
  <c r="E9" i="11"/>
  <c r="G9" i="11"/>
  <c r="L9" i="11"/>
  <c r="F9" i="11"/>
  <c r="D9" i="11"/>
  <c r="E10" i="11"/>
  <c r="G10" i="11"/>
  <c r="L10" i="11"/>
  <c r="F10" i="11"/>
  <c r="D10" i="11"/>
  <c r="E11" i="11"/>
  <c r="G11" i="11"/>
  <c r="L11" i="11"/>
  <c r="F11" i="11"/>
  <c r="D11" i="11"/>
  <c r="E12" i="11"/>
  <c r="G12" i="11"/>
  <c r="L12" i="11"/>
  <c r="F12" i="11"/>
  <c r="D12" i="11"/>
  <c r="E13" i="11"/>
  <c r="G13" i="11"/>
  <c r="L13" i="11"/>
  <c r="F13" i="11"/>
  <c r="D13" i="11"/>
  <c r="E14" i="11"/>
  <c r="G14" i="11"/>
  <c r="L14" i="11"/>
  <c r="F14" i="11"/>
  <c r="D14" i="11"/>
  <c r="E15" i="11"/>
  <c r="G15" i="11"/>
  <c r="L15" i="11"/>
  <c r="F15" i="11"/>
  <c r="D15" i="11"/>
  <c r="E16" i="11"/>
  <c r="G16" i="11"/>
  <c r="L16" i="11"/>
  <c r="F16" i="11"/>
  <c r="D16" i="11"/>
  <c r="E17" i="11"/>
  <c r="G17" i="11"/>
  <c r="L17" i="11"/>
  <c r="F17" i="11"/>
  <c r="D17" i="11"/>
  <c r="E18" i="11"/>
  <c r="G18" i="11"/>
  <c r="L18" i="11"/>
  <c r="F18" i="11"/>
  <c r="D18" i="11"/>
  <c r="E19" i="11"/>
  <c r="G19" i="11"/>
  <c r="L19" i="11"/>
  <c r="F19" i="11"/>
  <c r="D19" i="11"/>
  <c r="E20" i="11"/>
  <c r="G20" i="11"/>
  <c r="L20" i="11"/>
  <c r="F20" i="11"/>
  <c r="D20" i="11"/>
  <c r="E21" i="11"/>
  <c r="G21" i="11"/>
  <c r="L21" i="11"/>
  <c r="F21" i="11"/>
  <c r="D21" i="11"/>
  <c r="E22" i="11"/>
  <c r="G22" i="11"/>
  <c r="L22" i="11"/>
  <c r="F22" i="11"/>
  <c r="D22" i="11"/>
  <c r="E23" i="11"/>
  <c r="G23" i="11"/>
  <c r="L23" i="11"/>
  <c r="F23" i="11"/>
  <c r="D23" i="11"/>
  <c r="E24" i="11"/>
  <c r="G24" i="11"/>
  <c r="L24" i="11"/>
  <c r="F24" i="11"/>
  <c r="D24" i="11"/>
  <c r="E25" i="11"/>
  <c r="G25" i="11"/>
  <c r="L25" i="11"/>
  <c r="F25" i="11"/>
  <c r="D25" i="11"/>
  <c r="E26" i="11"/>
  <c r="G26" i="11"/>
  <c r="L26" i="11"/>
  <c r="F26" i="11"/>
  <c r="D26" i="11"/>
  <c r="E27" i="11"/>
  <c r="G27" i="11"/>
  <c r="L27" i="11"/>
  <c r="F27" i="11"/>
  <c r="D27" i="11"/>
  <c r="E28" i="11"/>
  <c r="G28" i="11"/>
  <c r="L28" i="11"/>
  <c r="F28" i="11"/>
  <c r="D28" i="11"/>
  <c r="E29" i="11"/>
  <c r="G29" i="11"/>
  <c r="L29" i="11"/>
  <c r="F29" i="11"/>
  <c r="D29" i="11"/>
  <c r="E30" i="11"/>
  <c r="G30" i="11"/>
  <c r="L30" i="11"/>
  <c r="F30" i="11"/>
  <c r="D30" i="11"/>
  <c r="E31" i="11"/>
  <c r="G31" i="11"/>
  <c r="L31" i="11"/>
  <c r="F31" i="11"/>
  <c r="D31" i="11"/>
  <c r="E32" i="11"/>
  <c r="G32" i="11"/>
  <c r="L32" i="11"/>
  <c r="F32" i="11"/>
  <c r="D32" i="11"/>
  <c r="E33" i="11"/>
  <c r="G33" i="11"/>
  <c r="L33" i="11"/>
  <c r="F33" i="11"/>
  <c r="D33" i="11"/>
  <c r="E34" i="11"/>
  <c r="G34" i="11"/>
  <c r="L34" i="11"/>
  <c r="F34" i="11"/>
  <c r="D34" i="11"/>
  <c r="E35" i="11"/>
  <c r="G35" i="11"/>
  <c r="L35" i="11"/>
  <c r="F35" i="11"/>
  <c r="D35" i="11"/>
  <c r="E36" i="11"/>
  <c r="G36" i="11"/>
  <c r="L36" i="11"/>
  <c r="F36" i="11"/>
  <c r="D36" i="11"/>
  <c r="E37" i="11"/>
  <c r="G37" i="11"/>
  <c r="L37" i="11"/>
  <c r="F37" i="11"/>
  <c r="D37" i="11"/>
  <c r="E38" i="11"/>
  <c r="G38" i="11"/>
  <c r="L38" i="11"/>
  <c r="F38" i="11"/>
  <c r="D38" i="11"/>
  <c r="E39" i="11"/>
  <c r="G39" i="11"/>
  <c r="L39" i="11"/>
  <c r="F39" i="11"/>
  <c r="D39" i="11"/>
  <c r="E40" i="11"/>
  <c r="G40" i="11"/>
  <c r="L40" i="11"/>
  <c r="F40" i="11"/>
  <c r="D40" i="11"/>
  <c r="E41" i="11"/>
  <c r="G41" i="11"/>
  <c r="L41" i="11"/>
  <c r="F41" i="11"/>
  <c r="D41" i="11"/>
  <c r="E42" i="11"/>
  <c r="G42" i="11"/>
  <c r="L42" i="11"/>
  <c r="F42" i="11"/>
  <c r="D42" i="11"/>
  <c r="E43" i="11"/>
  <c r="G43" i="11"/>
  <c r="L43" i="11"/>
  <c r="F43" i="11"/>
  <c r="D43" i="11"/>
  <c r="E44" i="11"/>
  <c r="G44" i="11"/>
  <c r="L44" i="11"/>
  <c r="F44" i="11"/>
  <c r="D44" i="11"/>
  <c r="E45" i="11"/>
  <c r="G45" i="11"/>
  <c r="L45" i="11"/>
  <c r="F45" i="11"/>
  <c r="D45" i="11"/>
  <c r="E46" i="11"/>
  <c r="G46" i="11"/>
  <c r="L46" i="11"/>
  <c r="F46" i="11"/>
  <c r="D46" i="11"/>
  <c r="E47" i="11"/>
  <c r="G47" i="11"/>
  <c r="L47" i="11"/>
  <c r="F47" i="11"/>
  <c r="D47" i="11"/>
  <c r="E48" i="11"/>
  <c r="G48" i="11"/>
  <c r="L48" i="11"/>
  <c r="F48" i="11"/>
  <c r="D48" i="11"/>
  <c r="E49" i="11"/>
  <c r="G49" i="11"/>
  <c r="L49" i="11"/>
  <c r="F49" i="11"/>
  <c r="D49" i="11"/>
  <c r="E50" i="11"/>
  <c r="G50" i="11"/>
  <c r="L50" i="11"/>
  <c r="F50" i="11"/>
  <c r="D50" i="11"/>
  <c r="E51" i="11"/>
  <c r="G51" i="11"/>
  <c r="L51" i="11"/>
  <c r="F51" i="11"/>
  <c r="D51" i="11"/>
  <c r="E52" i="11"/>
  <c r="G52" i="11"/>
  <c r="L52" i="11"/>
  <c r="F52" i="11"/>
  <c r="D52" i="11"/>
  <c r="E53" i="11"/>
  <c r="G53" i="11"/>
  <c r="L53" i="11"/>
  <c r="F53" i="11"/>
  <c r="D53" i="11"/>
  <c r="E54" i="11"/>
  <c r="G54" i="11"/>
  <c r="L54" i="11"/>
  <c r="F54" i="11"/>
  <c r="D54" i="11"/>
  <c r="E55" i="11"/>
  <c r="G55" i="11"/>
  <c r="L55" i="11"/>
  <c r="F55" i="11"/>
  <c r="D55" i="11"/>
  <c r="E56" i="11"/>
  <c r="G56" i="11"/>
  <c r="L56" i="11"/>
  <c r="F56" i="11"/>
  <c r="D56" i="11"/>
  <c r="E57" i="11"/>
  <c r="G57" i="11"/>
  <c r="L57" i="11"/>
  <c r="F57" i="11"/>
  <c r="D57" i="11"/>
  <c r="E58" i="11"/>
  <c r="G58" i="11"/>
  <c r="L58" i="11"/>
  <c r="F58" i="11"/>
  <c r="D58" i="11"/>
  <c r="E59" i="11"/>
  <c r="G59" i="11"/>
  <c r="L59" i="11"/>
  <c r="F59" i="11"/>
  <c r="D59" i="11"/>
  <c r="E60" i="11"/>
  <c r="G60" i="11"/>
  <c r="L60" i="11"/>
  <c r="F60" i="11"/>
  <c r="D60" i="11"/>
  <c r="E61" i="11"/>
  <c r="G61" i="11"/>
  <c r="L61" i="11"/>
  <c r="F61" i="11"/>
  <c r="D61" i="11"/>
  <c r="E62" i="11"/>
  <c r="G62" i="11"/>
  <c r="L62" i="11"/>
  <c r="F62" i="11"/>
  <c r="D62" i="11"/>
  <c r="E63" i="11"/>
  <c r="G63" i="11"/>
  <c r="L63" i="11"/>
  <c r="F63" i="11"/>
  <c r="D63" i="11"/>
  <c r="E64" i="11"/>
  <c r="G64" i="11"/>
  <c r="L64" i="11"/>
  <c r="F64" i="11"/>
  <c r="D64" i="11"/>
  <c r="E65" i="11"/>
  <c r="G65" i="11"/>
  <c r="L65" i="11"/>
  <c r="F65" i="11"/>
  <c r="D65" i="11"/>
  <c r="E66" i="11"/>
  <c r="G66" i="11"/>
  <c r="L66" i="11"/>
  <c r="F66" i="11"/>
  <c r="D66" i="11"/>
  <c r="E67" i="11"/>
  <c r="G67" i="11"/>
  <c r="L67" i="11"/>
  <c r="F67" i="11"/>
  <c r="D67" i="11"/>
  <c r="E68" i="11"/>
  <c r="G68" i="11"/>
  <c r="L68" i="11"/>
  <c r="F68" i="11"/>
  <c r="D68" i="11"/>
  <c r="E69" i="11"/>
  <c r="G69" i="11"/>
  <c r="L69" i="11"/>
  <c r="F69" i="11"/>
  <c r="D69" i="11"/>
  <c r="E70" i="11"/>
  <c r="G70" i="11"/>
  <c r="L70" i="11"/>
  <c r="F70" i="11"/>
  <c r="D70" i="11"/>
  <c r="E71" i="11"/>
  <c r="G71" i="11"/>
  <c r="L71" i="11"/>
  <c r="F71" i="11"/>
  <c r="D71" i="11"/>
  <c r="E72" i="11"/>
  <c r="G72" i="11"/>
  <c r="L72" i="11"/>
  <c r="F72" i="11"/>
  <c r="D72" i="11"/>
  <c r="E73" i="11"/>
  <c r="G73" i="11"/>
  <c r="L73" i="11"/>
  <c r="F73" i="11"/>
  <c r="D73" i="11"/>
  <c r="E74" i="11"/>
  <c r="G74" i="11"/>
  <c r="L74" i="11"/>
  <c r="F74" i="11"/>
  <c r="D74" i="11"/>
  <c r="E75" i="11"/>
  <c r="G75" i="11"/>
  <c r="L75" i="11"/>
  <c r="F75" i="11"/>
  <c r="D75" i="11"/>
  <c r="E76" i="11"/>
  <c r="G76" i="11"/>
  <c r="L76" i="11"/>
  <c r="F76" i="11"/>
  <c r="D76" i="11"/>
  <c r="E77" i="11"/>
  <c r="G77" i="11"/>
  <c r="L77" i="11"/>
  <c r="F77" i="11"/>
  <c r="D77" i="11"/>
  <c r="E78" i="11"/>
  <c r="G78" i="11"/>
  <c r="L78" i="11"/>
  <c r="F78" i="11"/>
  <c r="D78" i="11"/>
  <c r="E79" i="11"/>
  <c r="G79" i="11"/>
  <c r="L79" i="11"/>
  <c r="F79" i="11"/>
  <c r="D79" i="11"/>
  <c r="E80" i="11"/>
  <c r="G80" i="11"/>
  <c r="L80" i="11"/>
  <c r="F80" i="11"/>
  <c r="D80" i="11"/>
  <c r="E81" i="11"/>
  <c r="G81" i="11"/>
  <c r="L81" i="11"/>
  <c r="F81" i="11"/>
  <c r="D81" i="11"/>
  <c r="E82" i="11"/>
  <c r="G82" i="11"/>
  <c r="L82" i="11"/>
  <c r="F82" i="11"/>
  <c r="D82" i="11"/>
  <c r="E83" i="11"/>
  <c r="G83" i="11"/>
  <c r="L83" i="11"/>
  <c r="F83" i="11"/>
  <c r="D83" i="11"/>
  <c r="E84" i="11"/>
  <c r="G84" i="11"/>
  <c r="L84" i="11"/>
  <c r="F84" i="11"/>
  <c r="D84" i="11"/>
  <c r="E85" i="11"/>
  <c r="G85" i="11"/>
  <c r="L85" i="11"/>
  <c r="F85" i="11"/>
  <c r="D85" i="11"/>
  <c r="E86" i="11"/>
  <c r="G86" i="11"/>
  <c r="L86" i="11"/>
  <c r="F86" i="11"/>
  <c r="D86" i="11"/>
  <c r="E87" i="11"/>
  <c r="G87" i="11"/>
  <c r="L87" i="11"/>
  <c r="F87" i="11"/>
  <c r="D87" i="11"/>
  <c r="E88" i="11"/>
  <c r="G88" i="11"/>
  <c r="L88" i="11"/>
  <c r="F88" i="11"/>
  <c r="D88" i="11"/>
  <c r="E89" i="11"/>
  <c r="G89" i="11"/>
  <c r="L89" i="11"/>
  <c r="F89" i="11"/>
  <c r="D89" i="11"/>
  <c r="E90" i="11"/>
  <c r="G90" i="11"/>
  <c r="L90" i="11"/>
  <c r="F90" i="11"/>
  <c r="D90" i="11"/>
  <c r="E91" i="11"/>
  <c r="G91" i="11"/>
  <c r="L91" i="11"/>
  <c r="F91" i="11"/>
  <c r="D91" i="11"/>
  <c r="E92" i="11"/>
  <c r="G92" i="11"/>
  <c r="L92" i="11"/>
  <c r="F92" i="11"/>
  <c r="D92" i="11"/>
  <c r="E93" i="11"/>
  <c r="G93" i="11"/>
  <c r="L93" i="11"/>
  <c r="F93" i="11"/>
  <c r="D93" i="11"/>
  <c r="E94" i="11"/>
  <c r="G94" i="11"/>
  <c r="L94" i="11"/>
  <c r="F94" i="11"/>
  <c r="D94" i="11"/>
  <c r="E95" i="11"/>
  <c r="G95" i="11"/>
  <c r="L95" i="11"/>
  <c r="F95" i="11"/>
  <c r="D95" i="11"/>
  <c r="E96" i="11"/>
  <c r="G96" i="11"/>
  <c r="L96" i="11"/>
  <c r="F96" i="11"/>
  <c r="D96" i="11"/>
  <c r="E97" i="11"/>
  <c r="G97" i="11"/>
  <c r="L97" i="11"/>
  <c r="F97" i="11"/>
  <c r="D97" i="11"/>
  <c r="E98" i="11"/>
  <c r="G98" i="11"/>
  <c r="L98" i="11"/>
  <c r="F98" i="11"/>
  <c r="D98" i="11"/>
  <c r="E99" i="11"/>
  <c r="G99" i="11"/>
  <c r="L99" i="11"/>
  <c r="F99" i="11"/>
  <c r="D99" i="11"/>
  <c r="E100" i="11"/>
  <c r="G100" i="11"/>
  <c r="L100" i="11"/>
  <c r="F100" i="11"/>
  <c r="D100" i="11"/>
  <c r="E101" i="11"/>
  <c r="G101" i="11"/>
  <c r="L101" i="11"/>
  <c r="F101" i="11"/>
  <c r="D101" i="11"/>
  <c r="E102" i="11"/>
  <c r="G102" i="11"/>
  <c r="L102" i="11"/>
  <c r="F102" i="11"/>
  <c r="D102" i="11"/>
  <c r="E103" i="11"/>
  <c r="G103" i="11"/>
  <c r="L103" i="11"/>
  <c r="F103" i="11"/>
  <c r="D103" i="11"/>
  <c r="E104" i="11"/>
  <c r="G104" i="11"/>
  <c r="L104" i="11"/>
  <c r="F104" i="11"/>
  <c r="D104" i="11"/>
  <c r="E105" i="11"/>
  <c r="G105" i="11"/>
  <c r="L105" i="11"/>
  <c r="F105" i="11"/>
  <c r="D105" i="11"/>
  <c r="E106" i="11"/>
  <c r="G106" i="11"/>
  <c r="L106" i="11"/>
  <c r="F106" i="11"/>
  <c r="D106" i="11"/>
  <c r="E107" i="11"/>
  <c r="G107" i="11"/>
  <c r="L107" i="11"/>
  <c r="F107" i="11"/>
  <c r="D107" i="11"/>
  <c r="E108" i="11"/>
  <c r="G108" i="11"/>
  <c r="L108" i="11"/>
  <c r="F108" i="11"/>
  <c r="D108" i="11"/>
  <c r="E109" i="11"/>
  <c r="G109" i="11"/>
  <c r="L109" i="11"/>
  <c r="F109" i="11"/>
  <c r="D109" i="11"/>
  <c r="E110" i="11"/>
  <c r="G110" i="11"/>
  <c r="L110" i="11"/>
  <c r="F110" i="11"/>
  <c r="D110" i="11"/>
  <c r="E111" i="11"/>
  <c r="G111" i="11"/>
  <c r="L111" i="11"/>
  <c r="F111" i="11"/>
  <c r="D111" i="11"/>
  <c r="E112" i="11"/>
  <c r="G112" i="11"/>
  <c r="L112" i="11"/>
  <c r="F112" i="11"/>
  <c r="D112" i="11"/>
  <c r="E113" i="11"/>
  <c r="G113" i="11"/>
  <c r="L113" i="11"/>
  <c r="F113" i="11"/>
  <c r="D113" i="11"/>
  <c r="E114" i="11"/>
  <c r="G114" i="11"/>
  <c r="L114" i="11"/>
  <c r="F114" i="11"/>
  <c r="D114" i="11"/>
  <c r="E115" i="11"/>
  <c r="G115" i="11"/>
  <c r="L115" i="11"/>
  <c r="F115" i="11"/>
  <c r="D115" i="11"/>
  <c r="E116" i="11"/>
  <c r="G116" i="11"/>
  <c r="L116" i="11"/>
  <c r="F116" i="11"/>
  <c r="D116" i="11"/>
  <c r="E117" i="11"/>
  <c r="G117" i="11"/>
  <c r="L117" i="11"/>
  <c r="F117" i="11"/>
  <c r="D117" i="11"/>
  <c r="E118" i="11"/>
  <c r="G118" i="11"/>
  <c r="L118" i="11"/>
  <c r="F118" i="11"/>
  <c r="D118" i="11"/>
  <c r="E119" i="11"/>
  <c r="G119" i="11"/>
  <c r="L119" i="11"/>
  <c r="F119" i="11"/>
  <c r="D119" i="11"/>
  <c r="E120" i="11"/>
  <c r="G120" i="11"/>
  <c r="L120" i="11"/>
  <c r="F120" i="11"/>
  <c r="D120" i="11"/>
  <c r="E121" i="11"/>
  <c r="G121" i="11"/>
  <c r="L121" i="11"/>
  <c r="F121" i="11"/>
  <c r="D121" i="11"/>
  <c r="E122" i="11"/>
  <c r="G122" i="11"/>
  <c r="L122" i="11"/>
  <c r="F122" i="11"/>
  <c r="D122" i="11"/>
  <c r="E123" i="11"/>
  <c r="G123" i="11"/>
  <c r="L123" i="11"/>
  <c r="F123" i="11"/>
  <c r="D123" i="11"/>
  <c r="E124" i="11"/>
  <c r="G124" i="11"/>
  <c r="L124" i="11"/>
  <c r="F124" i="11"/>
  <c r="D124" i="11"/>
  <c r="E125" i="11"/>
  <c r="G125" i="11"/>
  <c r="L125" i="11"/>
  <c r="F125" i="11"/>
  <c r="D125" i="11"/>
  <c r="E126" i="11"/>
  <c r="G126" i="11"/>
  <c r="L126" i="11"/>
  <c r="F126" i="11"/>
  <c r="D126" i="11"/>
  <c r="E127" i="11"/>
  <c r="G127" i="11"/>
  <c r="L127" i="11"/>
  <c r="F127" i="11"/>
  <c r="D127" i="11"/>
  <c r="E128" i="11"/>
  <c r="G128" i="11"/>
  <c r="L128" i="11"/>
  <c r="F128" i="11"/>
  <c r="D128" i="11"/>
  <c r="E129" i="11"/>
  <c r="G129" i="11"/>
  <c r="L129" i="11"/>
  <c r="F129" i="11"/>
  <c r="D129" i="11"/>
  <c r="E130" i="11"/>
  <c r="G130" i="11"/>
  <c r="L130" i="11"/>
  <c r="F130" i="11"/>
  <c r="D130" i="11"/>
  <c r="E131" i="11"/>
  <c r="G131" i="11"/>
  <c r="L131" i="11"/>
  <c r="F131" i="11"/>
  <c r="D131" i="11"/>
  <c r="E132" i="11"/>
  <c r="G132" i="11"/>
  <c r="L132" i="11"/>
  <c r="F132" i="11"/>
  <c r="D132" i="11"/>
  <c r="E133" i="11"/>
  <c r="G133" i="11"/>
  <c r="L133" i="11"/>
  <c r="F133" i="11"/>
  <c r="D133" i="11"/>
  <c r="E134" i="11"/>
  <c r="G134" i="11"/>
  <c r="L134" i="11"/>
  <c r="F134" i="11"/>
  <c r="D134" i="11"/>
  <c r="E135" i="11"/>
  <c r="G135" i="11"/>
  <c r="L135" i="11"/>
  <c r="F135" i="11"/>
  <c r="D135" i="11"/>
  <c r="E136" i="11"/>
  <c r="G136" i="11"/>
  <c r="L136" i="11"/>
  <c r="F136" i="11"/>
  <c r="D136" i="11"/>
  <c r="E137" i="11"/>
  <c r="G137" i="11"/>
  <c r="L137" i="11"/>
  <c r="F137" i="11"/>
  <c r="D137" i="11"/>
  <c r="E138" i="11"/>
  <c r="G138" i="11"/>
  <c r="L138" i="11"/>
  <c r="F138" i="11"/>
  <c r="D138" i="11"/>
  <c r="E139" i="11"/>
  <c r="G139" i="11"/>
  <c r="L139" i="11"/>
  <c r="F139" i="11"/>
  <c r="D139" i="11"/>
  <c r="E140" i="11"/>
  <c r="G140" i="11"/>
  <c r="L140" i="11"/>
  <c r="F140" i="11"/>
  <c r="D140" i="11"/>
  <c r="E141" i="11"/>
  <c r="G141" i="11"/>
  <c r="L141" i="11"/>
  <c r="F141" i="11"/>
  <c r="D141" i="11"/>
  <c r="E142" i="11"/>
  <c r="G142" i="11"/>
  <c r="L142" i="11"/>
  <c r="F142" i="11"/>
  <c r="D142" i="11"/>
  <c r="E143" i="11"/>
  <c r="G143" i="11"/>
  <c r="L143" i="11"/>
  <c r="F143" i="11"/>
  <c r="D143" i="11"/>
  <c r="E144" i="11"/>
  <c r="G144" i="11"/>
  <c r="L144" i="11"/>
  <c r="F144" i="11"/>
  <c r="D144" i="11"/>
  <c r="E145" i="11"/>
  <c r="G145" i="11"/>
  <c r="L145" i="11"/>
  <c r="F145" i="11"/>
  <c r="D145" i="11"/>
  <c r="E146" i="11"/>
  <c r="G146" i="11"/>
  <c r="L146" i="11"/>
  <c r="F146" i="11"/>
  <c r="D146" i="11"/>
  <c r="E147" i="11"/>
  <c r="G147" i="11"/>
  <c r="L147" i="11"/>
  <c r="F147" i="11"/>
  <c r="D147" i="11"/>
  <c r="E148" i="11"/>
  <c r="G148" i="11"/>
  <c r="L148" i="11"/>
  <c r="F148" i="11"/>
  <c r="D148" i="11"/>
  <c r="E149" i="11"/>
  <c r="G149" i="11"/>
  <c r="L149" i="11"/>
  <c r="F149" i="11"/>
  <c r="D149" i="11"/>
  <c r="E150" i="11"/>
  <c r="G150" i="11"/>
  <c r="L150" i="11"/>
  <c r="F150" i="11"/>
  <c r="D150" i="11"/>
  <c r="M318" i="1"/>
  <c r="M844" i="1"/>
  <c r="M117" i="1"/>
  <c r="M136" i="1"/>
  <c r="M730" i="1"/>
  <c r="M935" i="1"/>
  <c r="M202" i="1"/>
  <c r="M49" i="1"/>
  <c r="M911" i="1"/>
  <c r="M358" i="1"/>
  <c r="M809" i="1"/>
  <c r="M691" i="1"/>
  <c r="M432" i="1"/>
  <c r="M339" i="1"/>
  <c r="M629" i="1"/>
  <c r="M378" i="1"/>
  <c r="M275" i="1"/>
  <c r="M944" i="1"/>
  <c r="M484" i="1"/>
  <c r="M38" i="1"/>
  <c r="M231" i="1"/>
  <c r="M306" i="1"/>
  <c r="M223" i="1"/>
  <c r="M409" i="1"/>
  <c r="M47" i="1"/>
  <c r="M584" i="1"/>
  <c r="M97" i="1"/>
  <c r="M444" i="1"/>
  <c r="M88" i="1"/>
  <c r="M905" i="1"/>
  <c r="M254" i="1"/>
  <c r="M217" i="1"/>
  <c r="M849" i="1"/>
  <c r="M937" i="1"/>
  <c r="M392" i="1"/>
  <c r="M207" i="1"/>
  <c r="M624" i="1"/>
  <c r="M592" i="1"/>
  <c r="M172" i="1"/>
  <c r="M81" i="1"/>
  <c r="M881" i="1"/>
  <c r="M355" i="1"/>
  <c r="M595" i="1"/>
  <c r="M549" i="1"/>
  <c r="M978" i="1"/>
  <c r="M759" i="1"/>
  <c r="M918" i="1"/>
  <c r="M6" i="1"/>
  <c r="M188" i="1"/>
  <c r="M497" i="1"/>
  <c r="M785" i="1"/>
  <c r="M120" i="1"/>
  <c r="M644" i="1"/>
  <c r="M895" i="1"/>
  <c r="M262" i="1"/>
  <c r="M877" i="1"/>
  <c r="M623" i="1"/>
  <c r="M446" i="1"/>
  <c r="M864" i="1"/>
  <c r="M648" i="1"/>
  <c r="M420" i="1"/>
  <c r="M485" i="1"/>
  <c r="M360" i="1"/>
  <c r="M29" i="1"/>
  <c r="M936" i="1"/>
  <c r="M939" i="1"/>
  <c r="M819" i="1"/>
  <c r="M828" i="1"/>
  <c r="M975" i="1"/>
  <c r="M825" i="1"/>
  <c r="M487" i="1"/>
  <c r="M755" i="1"/>
  <c r="M119" i="1"/>
  <c r="M875" i="1"/>
  <c r="M343" i="1"/>
  <c r="M113" i="1"/>
  <c r="M140" i="1"/>
  <c r="M708" i="1"/>
  <c r="M621" i="1"/>
  <c r="M396" i="1"/>
  <c r="M934" i="1"/>
  <c r="M780" i="1"/>
  <c r="M734" i="1"/>
  <c r="M101" i="1"/>
  <c r="M460" i="1"/>
  <c r="M329" i="1"/>
  <c r="M964" i="1"/>
  <c r="M865" i="1"/>
  <c r="M436" i="1"/>
  <c r="M137" i="1"/>
  <c r="M23" i="1"/>
  <c r="M526" i="1"/>
  <c r="M842" i="1"/>
  <c r="M753" i="1"/>
  <c r="M719" i="1"/>
  <c r="M450" i="1"/>
  <c r="M169" i="1"/>
  <c r="M407" i="1"/>
  <c r="M671" i="1"/>
  <c r="M807" i="1"/>
  <c r="M603" i="1"/>
  <c r="M66" i="1"/>
  <c r="M869" i="1"/>
  <c r="M862" i="1"/>
  <c r="M410" i="1"/>
  <c r="M28" i="1"/>
  <c r="M505" i="1"/>
  <c r="M843" i="1"/>
  <c r="M153" i="1"/>
  <c r="M283" i="1"/>
  <c r="M896" i="1"/>
  <c r="M58" i="1"/>
  <c r="M626" i="1"/>
  <c r="M71" i="1"/>
  <c r="M536" i="1"/>
  <c r="M652" i="1"/>
  <c r="M541" i="1"/>
  <c r="M387" i="1"/>
  <c r="M672" i="1"/>
  <c r="M400" i="1"/>
  <c r="M166" i="1"/>
  <c r="M483" i="1"/>
  <c r="M832" i="1"/>
  <c r="M502" i="1"/>
  <c r="M711" i="1"/>
  <c r="M565" i="1"/>
  <c r="M160" i="1"/>
  <c r="M346" i="1"/>
  <c r="M467" i="1"/>
  <c r="M685" i="1"/>
  <c r="M779" i="1"/>
  <c r="M521" i="1"/>
  <c r="M320" i="1"/>
  <c r="M970" i="1"/>
  <c r="M304" i="1"/>
  <c r="M345" i="1"/>
  <c r="M608" i="1"/>
  <c r="M83" i="1"/>
  <c r="M354" i="1"/>
  <c r="M182" i="1"/>
  <c r="M705" i="1"/>
  <c r="M607" i="1"/>
  <c r="M371" i="1"/>
  <c r="M489" i="1"/>
  <c r="M143" i="1"/>
  <c r="M362" i="1"/>
  <c r="M236" i="1"/>
  <c r="M364" i="1"/>
  <c r="M109" i="1"/>
  <c r="M404" i="1"/>
  <c r="M783" i="1"/>
  <c r="M583" i="1"/>
  <c r="M374" i="1"/>
  <c r="M766" i="1"/>
  <c r="M390" i="1"/>
  <c r="M717" i="1"/>
  <c r="M567" i="1"/>
  <c r="M612" i="1"/>
  <c r="M622" i="1"/>
  <c r="M148" i="1"/>
  <c r="M133" i="1"/>
  <c r="M46" i="1"/>
  <c r="M922" i="1"/>
  <c r="M171" i="1"/>
  <c r="M808" i="1"/>
  <c r="M56" i="1"/>
  <c r="M647" i="1"/>
  <c r="M947" i="1"/>
  <c r="M765" i="1"/>
  <c r="M415" i="1"/>
  <c r="M538" i="1"/>
  <c r="M4" i="1"/>
  <c r="M474" i="1"/>
  <c r="M885" i="1"/>
  <c r="M278" i="1"/>
  <c r="M144" i="1"/>
  <c r="M889" i="1"/>
  <c r="M638" i="1"/>
  <c r="M314" i="1"/>
  <c r="M823" i="1"/>
  <c r="M96" i="1"/>
  <c r="M784" i="1"/>
  <c r="M242" i="1"/>
  <c r="M811" i="1"/>
  <c r="M229" i="1"/>
  <c r="M836" i="1"/>
  <c r="M185" i="1"/>
  <c r="M758" i="1"/>
  <c r="M186" i="1"/>
  <c r="M826" i="1"/>
  <c r="M932" i="1"/>
  <c r="M687" i="1"/>
  <c r="M949" i="1"/>
  <c r="M439" i="1"/>
  <c r="M268" i="1"/>
  <c r="M910" i="1"/>
  <c r="M91" i="1"/>
  <c r="M611" i="1"/>
  <c r="M499" i="1"/>
  <c r="M131" i="1"/>
  <c r="M261" i="1"/>
  <c r="M860" i="1"/>
  <c r="M239" i="1"/>
  <c r="M707" i="1"/>
  <c r="M599" i="1"/>
  <c r="M323" i="1"/>
  <c r="M68" i="1"/>
  <c r="M576" i="1"/>
  <c r="M139" i="1"/>
  <c r="M277" i="1"/>
  <c r="M157" i="1"/>
  <c r="M837" i="1"/>
  <c r="M637" i="1"/>
  <c r="M569" i="1"/>
  <c r="M226" i="1"/>
  <c r="M769" i="1"/>
  <c r="M224" i="1"/>
  <c r="M250" i="1"/>
  <c r="M245" i="1"/>
  <c r="M547" i="1"/>
  <c r="M564" i="1"/>
  <c r="M461" i="1"/>
  <c r="M953" i="1"/>
  <c r="M145" i="1"/>
  <c r="M724" i="1"/>
  <c r="M663" i="1"/>
  <c r="M931" i="1"/>
  <c r="M298" i="1"/>
  <c r="M408" i="1"/>
  <c r="M297" i="1"/>
  <c r="M276" i="1"/>
  <c r="M740" i="1"/>
  <c r="M656" i="1"/>
  <c r="M85" i="1"/>
  <c r="M859" i="1"/>
  <c r="M631" i="1"/>
  <c r="M478" i="1"/>
  <c r="M887" i="1"/>
  <c r="M733" i="1"/>
  <c r="M848" i="1"/>
  <c r="M86" i="1"/>
  <c r="M560" i="1"/>
  <c r="M425" i="1"/>
  <c r="M854" i="1"/>
  <c r="M550" i="1"/>
  <c r="M110" i="1"/>
  <c r="M197" i="1"/>
  <c r="M581" i="1"/>
  <c r="M798" i="1"/>
  <c r="M775" i="1"/>
  <c r="M710" i="1"/>
  <c r="M230" i="1"/>
  <c r="M247" i="1"/>
  <c r="M653" i="1"/>
  <c r="M562" i="1"/>
  <c r="M851" i="1"/>
  <c r="M898" i="1"/>
  <c r="M118" i="1"/>
  <c r="M941" i="1"/>
  <c r="M633" i="1"/>
  <c r="M212" i="1"/>
  <c r="M389" i="1"/>
  <c r="M594" i="1"/>
  <c r="M10" i="1"/>
  <c r="M325" i="1"/>
  <c r="M799" i="1"/>
  <c r="M732" i="1"/>
  <c r="M884" i="1"/>
  <c r="M259" i="1"/>
  <c r="M27" i="1"/>
  <c r="M713" i="1"/>
  <c r="M718" i="1"/>
  <c r="M211" i="1"/>
  <c r="M902" i="1"/>
  <c r="M12" i="1"/>
  <c r="M94" i="1"/>
  <c r="M558" i="1"/>
  <c r="M658" i="1"/>
  <c r="M5" i="1"/>
  <c r="M516" i="1"/>
  <c r="M725" i="1"/>
  <c r="M394" i="1"/>
  <c r="M40" i="1"/>
  <c r="M556" i="1"/>
  <c r="M440" i="1"/>
  <c r="M431" i="1"/>
  <c r="M792" i="1"/>
  <c r="M347" i="1"/>
  <c r="M183" i="1"/>
  <c r="M555" i="1"/>
  <c r="M102" i="1"/>
  <c r="M590" i="1"/>
  <c r="M929" i="1"/>
  <c r="M528" i="1"/>
  <c r="M542" i="1"/>
  <c r="M63" i="1"/>
  <c r="M482" i="1"/>
  <c r="M356" i="1"/>
  <c r="M45" i="1"/>
  <c r="M894" i="1"/>
  <c r="M104" i="1"/>
  <c r="M770" i="1"/>
  <c r="M419" i="1"/>
  <c r="M524" i="1"/>
  <c r="M106" i="1"/>
  <c r="M744" i="1"/>
  <c r="M134" i="1"/>
  <c r="M507" i="1"/>
  <c r="M818" i="1"/>
  <c r="M816" i="1"/>
  <c r="M606" i="1"/>
  <c r="M750" i="1"/>
  <c r="M508" i="1"/>
  <c r="M135" i="1"/>
  <c r="M379" i="1"/>
  <c r="M566" i="1"/>
  <c r="M22" i="1"/>
  <c r="M888" i="1"/>
  <c r="M968" i="1"/>
  <c r="M313" i="1"/>
  <c r="M899" i="1"/>
  <c r="M327" i="1"/>
  <c r="M228" i="1"/>
  <c r="M452" i="1"/>
  <c r="M668" i="1"/>
  <c r="M690" i="1"/>
  <c r="M704" i="1"/>
  <c r="M334" i="1"/>
  <c r="M782" i="1"/>
  <c r="M222" i="1"/>
  <c r="M322" i="1"/>
  <c r="M453" i="1"/>
  <c r="M388" i="1"/>
  <c r="M167" i="1"/>
  <c r="M686" i="1"/>
  <c r="M264" i="1"/>
  <c r="M871" i="1"/>
  <c r="M310" i="1"/>
  <c r="M365" i="1"/>
  <c r="M111" i="1"/>
  <c r="M917" i="1"/>
  <c r="M189" i="1"/>
  <c r="M218" i="1"/>
  <c r="M69" i="1"/>
  <c r="M368" i="1"/>
  <c r="M366" i="1"/>
  <c r="M850" i="1"/>
  <c r="M813" i="1"/>
  <c r="M727" i="1"/>
  <c r="M793" i="1"/>
  <c r="M266" i="1"/>
  <c r="M305" i="1"/>
  <c r="M618" i="1"/>
  <c r="M381" i="1"/>
  <c r="M876" i="1"/>
  <c r="M20" i="1"/>
  <c r="M575" i="1"/>
  <c r="M253" i="1"/>
  <c r="M351" i="1"/>
  <c r="M406" i="1"/>
  <c r="M194" i="1"/>
  <c r="M130" i="1"/>
  <c r="M946" i="1"/>
  <c r="M319" i="1"/>
  <c r="M498" i="1"/>
  <c r="M614" i="1"/>
  <c r="M424" i="1"/>
  <c r="M417" i="1"/>
  <c r="M856" i="1"/>
  <c r="M2" i="1"/>
  <c r="M938" i="1"/>
  <c r="M915" i="1"/>
  <c r="M802" i="1"/>
  <c r="M209" i="1"/>
  <c r="M503" i="1"/>
  <c r="M646" i="1"/>
  <c r="M703" i="1"/>
  <c r="M456" i="1"/>
  <c r="M470" i="1"/>
  <c r="M349" i="1"/>
  <c r="M79" i="1"/>
  <c r="M146" i="1"/>
  <c r="M154" i="1"/>
  <c r="M645" i="1"/>
  <c r="M129" i="1"/>
  <c r="M673" i="1"/>
  <c r="M468" i="1"/>
  <c r="M76" i="1"/>
  <c r="M973" i="1"/>
  <c r="M578" i="1"/>
  <c r="M14" i="1"/>
  <c r="M817" i="1"/>
  <c r="M99" i="1"/>
  <c r="M179" i="1"/>
  <c r="M220" i="1"/>
  <c r="M736" i="1"/>
  <c r="M271" i="1"/>
  <c r="M797" i="1"/>
  <c r="M7" i="1"/>
  <c r="M598" i="1"/>
  <c r="M423" i="1"/>
  <c r="M821" i="1"/>
  <c r="M557" i="1"/>
  <c r="M960" i="1"/>
  <c r="M702" i="1"/>
  <c r="M830" i="1"/>
  <c r="M954" i="1"/>
  <c r="M286" i="1"/>
  <c r="M288" i="1"/>
  <c r="M471" i="1"/>
  <c r="M244" i="1"/>
  <c r="M659" i="1"/>
  <c r="M806" i="1"/>
  <c r="M554" i="1"/>
  <c r="M258" i="1"/>
  <c r="M533" i="1"/>
  <c r="M700" i="1"/>
  <c r="M402" i="1"/>
  <c r="M604" i="1"/>
  <c r="M605" i="1"/>
  <c r="M427" i="1"/>
  <c r="M335" i="1"/>
  <c r="M908" i="1"/>
  <c r="M442" i="1"/>
  <c r="M395" i="1"/>
  <c r="M317" i="1"/>
  <c r="M527" i="1"/>
  <c r="M55" i="1"/>
  <c r="M413" i="1"/>
  <c r="M246" i="1"/>
  <c r="M19" i="1"/>
  <c r="M74" i="1"/>
  <c r="M150" i="1"/>
  <c r="M892" i="1"/>
  <c r="M341" i="1"/>
  <c r="M342" i="1"/>
  <c r="M561" i="1"/>
  <c r="M241" i="1"/>
  <c r="M841" i="1"/>
  <c r="M831" i="1"/>
  <c r="M437" i="1"/>
  <c r="M363" i="1"/>
  <c r="M589" i="1"/>
  <c r="M51" i="1"/>
  <c r="M480" i="1"/>
  <c r="M914" i="1"/>
  <c r="M741" i="1"/>
  <c r="M701" i="1"/>
  <c r="M620" i="1"/>
  <c r="M495" i="1"/>
  <c r="M517" i="1"/>
  <c r="M925" i="1"/>
  <c r="M916" i="1"/>
  <c r="M33" i="1"/>
  <c r="M943" i="1"/>
  <c r="M35" i="1"/>
  <c r="M462" i="1"/>
  <c r="M522" i="1"/>
  <c r="M882" i="1"/>
  <c r="M834" i="1"/>
  <c r="M814" i="1"/>
  <c r="M243" i="1"/>
  <c r="M670" i="1"/>
  <c r="M857" i="1"/>
  <c r="M411" i="1"/>
  <c r="M26" i="1"/>
  <c r="M745" i="1"/>
  <c r="M383" i="1"/>
  <c r="M570" i="1"/>
  <c r="M95" i="1"/>
  <c r="M749" i="1"/>
  <c r="M933" i="1"/>
  <c r="M639" i="1"/>
  <c r="M206" i="1"/>
  <c r="M927" i="1"/>
  <c r="M942" i="1"/>
  <c r="M773" i="1"/>
  <c r="M291" i="1"/>
  <c r="M340" i="1"/>
  <c r="M309" i="1"/>
  <c r="M267" i="1"/>
  <c r="M679" i="1"/>
  <c r="M776" i="1"/>
  <c r="M880" i="1"/>
  <c r="M512" i="1"/>
  <c r="M977" i="1"/>
  <c r="M763" i="1"/>
  <c r="M159" i="1"/>
  <c r="M655" i="1"/>
  <c r="M108" i="1"/>
  <c r="M706" i="1"/>
  <c r="M412" i="1"/>
  <c r="M903" i="1"/>
  <c r="M338" i="1"/>
  <c r="M951" i="1"/>
  <c r="M674" i="1"/>
  <c r="M421" i="1"/>
  <c r="M651" i="1"/>
  <c r="M126" i="1"/>
  <c r="M529" i="1"/>
  <c r="M682" i="1"/>
  <c r="M443" i="1"/>
  <c r="M198" i="1"/>
  <c r="M591" i="1"/>
  <c r="M103" i="1"/>
  <c r="M37" i="1"/>
  <c r="M716" i="1"/>
  <c r="M232" i="1"/>
  <c r="M504" i="1"/>
  <c r="M426" i="1"/>
  <c r="M235" i="1"/>
  <c r="M281" i="1"/>
  <c r="M628" i="1"/>
  <c r="M50" i="1"/>
  <c r="M500" i="1"/>
  <c r="M324" i="1"/>
  <c r="M955" i="1"/>
  <c r="M878" i="1"/>
  <c r="M399" i="1"/>
  <c r="M132" i="1"/>
  <c r="M957" i="1"/>
  <c r="M173" i="1"/>
  <c r="M900" i="1"/>
  <c r="M511" i="1"/>
  <c r="M924" i="1"/>
  <c r="M689" i="1"/>
  <c r="M777" i="1"/>
  <c r="M337" i="1"/>
  <c r="M125" i="1"/>
  <c r="M879" i="1"/>
  <c r="M506" i="1"/>
  <c r="M116" i="1"/>
  <c r="M233" i="1"/>
  <c r="M219" i="1"/>
  <c r="M52" i="1"/>
  <c r="M974" i="1"/>
  <c r="M44" i="1"/>
  <c r="M945" i="1"/>
  <c r="M184" i="1"/>
  <c r="M858" i="1"/>
  <c r="M465" i="1"/>
  <c r="M265" i="1"/>
  <c r="M515" i="1"/>
  <c r="M208" i="1"/>
  <c r="M746" i="1"/>
  <c r="M961" i="1"/>
  <c r="M80" i="1"/>
  <c r="M539" i="1"/>
  <c r="M370" i="1"/>
  <c r="M824" i="1"/>
  <c r="M348" i="1"/>
  <c r="M92" i="1"/>
  <c r="M328" i="1"/>
  <c r="M373" i="1"/>
  <c r="M810" i="1"/>
  <c r="M201" i="1"/>
  <c r="M65" i="1"/>
  <c r="M597" i="1"/>
  <c r="M909" i="1"/>
  <c r="M115" i="1"/>
  <c r="M490" i="1"/>
  <c r="M873" i="1"/>
  <c r="M863" i="1"/>
  <c r="M141" i="1"/>
  <c r="M93" i="1"/>
  <c r="M739" i="1"/>
  <c r="M967" i="1"/>
  <c r="M316" i="1"/>
  <c r="M25" i="1"/>
  <c r="M176" i="1"/>
  <c r="M293" i="1"/>
  <c r="M158" i="1"/>
  <c r="M200" i="1"/>
  <c r="M357" i="1"/>
  <c r="M292" i="1"/>
  <c r="M662" i="1"/>
  <c r="M921" i="1"/>
  <c r="M519" i="1"/>
  <c r="M163" i="1"/>
  <c r="M709" i="1"/>
  <c r="M256" i="1"/>
  <c r="M272" i="1"/>
  <c r="M16" i="1"/>
  <c r="M757" i="1"/>
  <c r="M57" i="1"/>
  <c r="M151" i="1"/>
  <c r="M294" i="1"/>
  <c r="M923" i="1"/>
  <c r="M174" i="1"/>
  <c r="M457" i="1"/>
  <c r="M289" i="1"/>
  <c r="M191" i="1"/>
  <c r="M493" i="1"/>
  <c r="M398" i="1"/>
  <c r="M531" i="1"/>
  <c r="M619" i="1"/>
  <c r="M630" i="1"/>
  <c r="M930" i="1"/>
  <c r="M428" i="1"/>
  <c r="M155" i="1"/>
  <c r="M723" i="1"/>
  <c r="M577" i="1"/>
  <c r="M787" i="1"/>
  <c r="M928" i="1"/>
  <c r="M225" i="1"/>
  <c r="M958" i="1"/>
  <c r="M762" i="1"/>
  <c r="M77" i="1"/>
  <c r="M952" i="1"/>
  <c r="M805" i="1"/>
  <c r="M13" i="1"/>
  <c r="M610" i="1"/>
  <c r="M833" i="1"/>
  <c r="M699" i="1"/>
  <c r="M496" i="1"/>
  <c r="M260" i="1"/>
  <c r="M210" i="1"/>
  <c r="M332" i="1"/>
  <c r="M593" i="1"/>
  <c r="M237" i="1"/>
  <c r="M643" i="1"/>
  <c r="M617" i="1"/>
  <c r="M75" i="1"/>
  <c r="M326" i="1"/>
  <c r="M635" i="1"/>
  <c r="M451" i="1"/>
  <c r="M481" i="1"/>
  <c r="M350" i="1"/>
  <c r="M812" i="1"/>
  <c r="M302" i="1"/>
  <c r="M764" i="1"/>
  <c r="M491" i="1"/>
  <c r="M361" i="1"/>
  <c r="M124" i="1"/>
  <c r="M8" i="1"/>
  <c r="M287" i="1"/>
  <c r="M771" i="1"/>
  <c r="M59" i="1"/>
  <c r="M464" i="1"/>
  <c r="M874" i="1"/>
  <c r="M518" i="1"/>
  <c r="M601" i="1"/>
  <c r="M683" i="1"/>
  <c r="M563" i="1"/>
  <c r="M466" i="1"/>
  <c r="M435" i="1"/>
  <c r="M553" i="1"/>
  <c r="M295" i="1"/>
  <c r="M530" i="1"/>
  <c r="M433" i="1"/>
  <c r="M545" i="1"/>
  <c r="M123" i="1"/>
  <c r="M252" i="1"/>
  <c r="M866" i="1"/>
  <c r="M403" i="1"/>
  <c r="M548" i="1"/>
  <c r="M731" i="1"/>
  <c r="M913" i="1"/>
  <c r="M897" i="1"/>
  <c r="M214" i="1"/>
  <c r="M778" i="1"/>
  <c r="M867" i="1"/>
  <c r="M196" i="1"/>
  <c r="M822" i="1"/>
  <c r="M382" i="1"/>
  <c r="M98" i="1"/>
  <c r="M661" i="1"/>
  <c r="M248" i="1"/>
  <c r="M971" i="1"/>
  <c r="M72" i="1"/>
  <c r="M728" i="1"/>
  <c r="M312" i="1"/>
  <c r="M82" i="1"/>
  <c r="M920" i="1"/>
  <c r="M698" i="1"/>
  <c r="M441" i="1"/>
  <c r="M11" i="1"/>
  <c r="M472" i="1"/>
  <c r="M735" i="1"/>
  <c r="M367" i="1"/>
  <c r="M845" i="1"/>
  <c r="M84" i="1"/>
  <c r="M216" i="1"/>
  <c r="M414" i="1"/>
  <c r="M514" i="1"/>
  <c r="M835" i="1"/>
  <c r="M156" i="1"/>
  <c r="M195" i="1"/>
  <c r="M162" i="1"/>
  <c r="M61" i="1"/>
  <c r="M128" i="1"/>
  <c r="M180" i="1"/>
  <c r="M290" i="1"/>
  <c r="M255" i="1"/>
  <c r="M34" i="1"/>
  <c r="M165" i="1"/>
  <c r="M384" i="1"/>
  <c r="M70" i="1"/>
  <c r="M969" i="1"/>
  <c r="M768" i="1"/>
  <c r="M907" i="1"/>
  <c r="M509" i="1"/>
  <c r="M572" i="1"/>
  <c r="M190" i="1"/>
  <c r="M107" i="1"/>
  <c r="M240" i="1"/>
  <c r="M886" i="1"/>
  <c r="M445" i="1"/>
  <c r="M422" i="1"/>
  <c r="M31" i="1"/>
  <c r="M416" i="1"/>
  <c r="M855" i="1"/>
  <c r="M574" i="1"/>
  <c r="M667" i="1"/>
  <c r="M582" i="1"/>
  <c r="M890" i="1"/>
  <c r="M377" i="1"/>
  <c r="M168" i="1"/>
  <c r="M976" i="1"/>
  <c r="M147" i="1"/>
  <c r="M434" i="1"/>
  <c r="M30" i="1"/>
  <c r="M205" i="1"/>
  <c r="M695" i="1"/>
  <c r="M477" i="1"/>
  <c r="M534" i="1"/>
  <c r="M203" i="1"/>
  <c r="M380" i="1"/>
  <c r="M544" i="1"/>
  <c r="M48" i="1"/>
  <c r="M551" i="1"/>
  <c r="M847" i="1"/>
  <c r="M795" i="1"/>
  <c r="M737" i="1"/>
  <c r="M743" i="1"/>
  <c r="M632" i="1"/>
  <c r="M430" i="1"/>
  <c r="M87" i="1"/>
  <c r="M285" i="1"/>
  <c r="M282" i="1"/>
  <c r="M473" i="1"/>
  <c r="M331" i="1"/>
  <c r="M78" i="1"/>
  <c r="M488" i="1"/>
  <c r="M801" i="1"/>
  <c r="M525" i="1"/>
  <c r="M418" i="1"/>
  <c r="M543" i="1"/>
  <c r="M950" i="1"/>
  <c r="M213" i="1"/>
  <c r="M693" i="1"/>
  <c r="M535" i="1"/>
  <c r="M675" i="1"/>
  <c r="M827" i="1"/>
  <c r="M438" i="1"/>
  <c r="M42" i="1"/>
  <c r="M372" i="1"/>
  <c r="M89" i="1"/>
  <c r="M891" i="1"/>
  <c r="M501" i="1"/>
  <c r="M678" i="1"/>
  <c r="M588" i="1"/>
  <c r="M579" i="1"/>
  <c r="M829" i="1"/>
  <c r="M479" i="1"/>
  <c r="M609" i="1"/>
  <c r="M476" i="1"/>
  <c r="M846" i="1"/>
  <c r="M839" i="1"/>
  <c r="M330" i="1"/>
  <c r="M249" i="1"/>
  <c r="M767" i="1"/>
  <c r="M449" i="1"/>
  <c r="M742" i="1"/>
  <c r="M627" i="1"/>
  <c r="M616" i="1"/>
  <c r="M161" i="1"/>
  <c r="M772" i="1"/>
  <c r="M311" i="1"/>
  <c r="M458" i="1"/>
  <c r="M893" i="1"/>
  <c r="M600" i="1"/>
  <c r="M177" i="1"/>
  <c r="M636" i="1"/>
  <c r="M284" i="1"/>
  <c r="M552" i="1"/>
  <c r="M872" i="1"/>
  <c r="M790" i="1"/>
  <c r="M199" i="1"/>
  <c r="M677" i="1"/>
  <c r="M301" i="1"/>
  <c r="M852" i="1"/>
  <c r="M694" i="1"/>
  <c r="M273" i="1"/>
  <c r="M112" i="1"/>
  <c r="M861" i="1"/>
  <c r="M369" i="1"/>
  <c r="M100" i="1"/>
  <c r="M747" i="1"/>
  <c r="M756" i="1"/>
  <c r="M729" i="1"/>
  <c r="M142" i="1"/>
  <c r="M523" i="1"/>
  <c r="M375" i="1"/>
  <c r="M475" i="1"/>
  <c r="M510" i="1"/>
  <c r="M804" i="1"/>
  <c r="M193" i="1"/>
  <c r="M279" i="1"/>
  <c r="M299" i="1"/>
  <c r="M187" i="1"/>
  <c r="M720" i="1"/>
  <c r="M650" i="1"/>
  <c r="M344" i="1"/>
  <c r="M238" i="1"/>
  <c r="M53" i="1"/>
  <c r="M546" i="1"/>
  <c r="M696" i="1"/>
  <c r="M840" i="1"/>
  <c r="M919" i="1"/>
  <c r="M959" i="1"/>
  <c r="M307" i="1"/>
  <c r="M965" i="1"/>
  <c r="M385" i="1"/>
  <c r="M221" i="1"/>
  <c r="M761" i="1"/>
  <c r="M972" i="1"/>
  <c r="M234" i="1"/>
  <c r="M448" i="1"/>
  <c r="M455" i="1"/>
  <c r="M568" i="1"/>
  <c r="M127" i="1"/>
  <c r="M926" i="1"/>
  <c r="M251" i="1"/>
  <c r="M21" i="1"/>
  <c r="M257" i="1"/>
  <c r="M300" i="1"/>
  <c r="M559" i="1"/>
  <c r="M192" i="1"/>
  <c r="M149" i="1"/>
  <c r="M376" i="1"/>
  <c r="M15" i="1"/>
  <c r="M486" i="1"/>
  <c r="M122" i="1"/>
  <c r="M580" i="1"/>
  <c r="M303" i="1"/>
  <c r="M788" i="1"/>
  <c r="M114" i="1"/>
  <c r="M537" i="1"/>
  <c r="M492" i="1"/>
  <c r="M681" i="1"/>
  <c r="M721" i="1"/>
  <c r="M573" i="1"/>
  <c r="M714" i="1"/>
  <c r="M90" i="1"/>
  <c r="M962" i="1"/>
  <c r="M963" i="1"/>
  <c r="M270" i="1"/>
  <c r="M463" i="1"/>
  <c r="M774" i="1"/>
  <c r="M315" i="1"/>
  <c r="M336" i="1"/>
  <c r="M62" i="1"/>
  <c r="M429" i="1"/>
  <c r="M948" i="1"/>
  <c r="M641" i="1"/>
  <c r="M796" i="1"/>
  <c r="M853" i="1"/>
  <c r="M940" i="1"/>
  <c r="M966" i="1"/>
  <c r="M760" i="1"/>
  <c r="M447" i="1"/>
  <c r="M280" i="1"/>
  <c r="M391" i="1"/>
  <c r="M32" i="1"/>
  <c r="M791" i="1"/>
  <c r="M587" i="1"/>
  <c r="M748" i="1"/>
  <c r="M204" i="1"/>
  <c r="M912" i="1"/>
  <c r="M684" i="1"/>
  <c r="M24" i="1"/>
  <c r="M815" i="1"/>
  <c r="M393" i="1"/>
  <c r="M269" i="1"/>
  <c r="M215" i="1"/>
  <c r="M692" i="1"/>
  <c r="M532" i="1"/>
  <c r="M41" i="1"/>
  <c r="M669" i="1"/>
  <c r="M697" i="1"/>
  <c r="M469" i="1"/>
  <c r="M586" i="1"/>
  <c r="M227" i="1"/>
  <c r="M602" i="1"/>
  <c r="M152" i="1"/>
  <c r="M459" i="1"/>
  <c r="M138" i="1"/>
  <c r="M321" i="1"/>
  <c r="M405" i="1"/>
  <c r="M596" i="1"/>
  <c r="M642" i="1"/>
  <c r="M164" i="1"/>
  <c r="M634" i="1"/>
  <c r="M181" i="1"/>
  <c r="M3" i="1"/>
  <c r="M170" i="1"/>
  <c r="M751" i="1"/>
  <c r="M615" i="1"/>
  <c r="M308" i="1"/>
  <c r="M401" i="1"/>
  <c r="M665" i="1"/>
  <c r="M956" i="1"/>
  <c r="M715" i="1"/>
  <c r="M657" i="1"/>
  <c r="M585" i="1"/>
  <c r="M540" i="1"/>
  <c r="M64" i="1"/>
  <c r="M868" i="1"/>
  <c r="M726" i="1"/>
  <c r="M386" i="1"/>
  <c r="M660" i="1"/>
  <c r="M649" i="1"/>
  <c r="M175" i="1"/>
  <c r="M352" i="1"/>
  <c r="M676" i="1"/>
  <c r="M640" i="1"/>
  <c r="M883" i="1"/>
  <c r="M870" i="1"/>
  <c r="M18" i="1"/>
  <c r="M121" i="1"/>
  <c r="M9" i="1"/>
  <c r="M520" i="1"/>
  <c r="M664" i="1"/>
  <c r="M73" i="1"/>
  <c r="M754" i="1"/>
  <c r="M513" i="1"/>
  <c r="M333" i="1"/>
  <c r="M688" i="1"/>
  <c r="M781" i="1"/>
  <c r="M397" i="1"/>
  <c r="M571" i="1"/>
  <c r="M296" i="1"/>
  <c r="M680" i="1"/>
  <c r="M43" i="1"/>
  <c r="M786" i="1"/>
  <c r="M838" i="1"/>
  <c r="M274" i="1"/>
  <c r="M36" i="1"/>
  <c r="M54" i="1"/>
  <c r="M800" i="1"/>
  <c r="M613" i="1"/>
  <c r="M803" i="1"/>
  <c r="M794" i="1"/>
  <c r="M454" i="1"/>
  <c r="M353" i="1"/>
  <c r="M625" i="1"/>
  <c r="M67" i="1"/>
  <c r="M666" i="1"/>
  <c r="M494" i="1"/>
  <c r="M904" i="1"/>
  <c r="M654" i="1"/>
  <c r="M738" i="1"/>
  <c r="M60" i="1"/>
  <c r="M752" i="1"/>
  <c r="M39" i="1"/>
  <c r="M712" i="1"/>
  <c r="M901" i="1"/>
  <c r="M789" i="1"/>
  <c r="M105" i="1"/>
  <c r="M263" i="1"/>
  <c r="M722" i="1"/>
  <c r="M820" i="1"/>
  <c r="M17" i="1"/>
  <c r="M359" i="1"/>
  <c r="M178" i="1"/>
  <c r="M906" i="1"/>
</calcChain>
</file>

<file path=xl/sharedStrings.xml><?xml version="1.0" encoding="utf-8"?>
<sst xmlns="http://schemas.openxmlformats.org/spreadsheetml/2006/main" count="5244" uniqueCount="1968">
  <si>
    <t>Spotify Song Popularity Data</t>
  </si>
  <si>
    <t>Data on songs and their popularity scores collected from Spotify in 2020</t>
  </si>
  <si>
    <t>Genre categories are assigned by Spotify users and may not be totally accurate</t>
  </si>
  <si>
    <t>Data is adapted from Kaggle (https://www.kaggle.com/datasets/joebeachcapital/30000-spotify-songs/)</t>
  </si>
  <si>
    <t>Column</t>
  </si>
  <si>
    <t>Type</t>
  </si>
  <si>
    <t>Description</t>
  </si>
  <si>
    <t xml:space="preserve">Reason For Deleting </t>
  </si>
  <si>
    <t>Song ID</t>
  </si>
  <si>
    <t>Alphanumeric</t>
  </si>
  <si>
    <t>Unique song identifier</t>
  </si>
  <si>
    <t>Song ID is not needed for our data as there is no use to differenciate for each specfic song.</t>
  </si>
  <si>
    <t>Title</t>
  </si>
  <si>
    <t>Text</t>
  </si>
  <si>
    <t>Song title</t>
  </si>
  <si>
    <t>Not necessary, does not contribute to the overall data we're using.</t>
  </si>
  <si>
    <t>Artist</t>
  </si>
  <si>
    <t>Primary artist name</t>
  </si>
  <si>
    <t>This data is non numerical data that does not contribute to our ideal data set.</t>
  </si>
  <si>
    <t>Genre</t>
  </si>
  <si>
    <t>Categorical</t>
  </si>
  <si>
    <t>Song category (edm, latin, pop, r&amp;b, rap, rock)</t>
  </si>
  <si>
    <t>Song Age</t>
  </si>
  <si>
    <t>Numeric</t>
  </si>
  <si>
    <t>Song age in year when data was collected (0 = song released in 2020)</t>
  </si>
  <si>
    <t>Popularity</t>
  </si>
  <si>
    <t>Spotify popularity score (0-100)</t>
  </si>
  <si>
    <t>Danceability</t>
  </si>
  <si>
    <t>Rating of suitability for dancing (0-1). Higher values = more danceable</t>
  </si>
  <si>
    <t>Speechiness</t>
  </si>
  <si>
    <t>Rating of prevalence of spoken/rapped words (0-1). Higher values = more rap and spoken word vs. singing</t>
  </si>
  <si>
    <t>Our data already includes genres of the songs used, which already gives a relative idea of the spoken vs. sung words in the songs. Also, this data would not be useful in our project question.</t>
  </si>
  <si>
    <t>Acousticness</t>
  </si>
  <si>
    <t>Rating of song's likelihood of being acoustic (0-1). Higher values = more acoustic vs. electronic</t>
  </si>
  <si>
    <t>Do not need this portion of data for our project question, it's irrelevant to our project question.</t>
  </si>
  <si>
    <t>Instrumentalness</t>
  </si>
  <si>
    <t>Rating of prevalence of instrumental music (0-1). Higher values = less vocals</t>
  </si>
  <si>
    <t xml:space="preserve">High redundancy among other sections of data, as well as we don't need this for our main question. </t>
  </si>
  <si>
    <t>Energy</t>
  </si>
  <si>
    <t>Song's energy level (Low, High)</t>
  </si>
  <si>
    <t>Tempo</t>
  </si>
  <si>
    <t>Song speed measured in beats per minute</t>
  </si>
  <si>
    <t>Duration</t>
  </si>
  <si>
    <t>Song length measured in seconds</t>
  </si>
  <si>
    <t>Random</t>
  </si>
  <si>
    <t>0BWx2N8CosqHVKkofenY3R</t>
  </si>
  <si>
    <t>Grey</t>
  </si>
  <si>
    <t>pop</t>
  </si>
  <si>
    <t>High</t>
  </si>
  <si>
    <t>6GyFP1nfCDB8lbD2bG0Hq9</t>
  </si>
  <si>
    <t>M83</t>
  </si>
  <si>
    <t>2ZOo4S1nhgSzmmKqJFkbAu</t>
  </si>
  <si>
    <t>Madiel Lara</t>
  </si>
  <si>
    <t>latin</t>
  </si>
  <si>
    <t>1Mwkihf9RgewFpE15q3Xsa</t>
  </si>
  <si>
    <t>Thomas Gold</t>
  </si>
  <si>
    <t>edm</t>
  </si>
  <si>
    <t>1AMMH22Y62rF3PDLTVhIFL</t>
  </si>
  <si>
    <t>Don Omar</t>
  </si>
  <si>
    <t>7990Xs9HQx7FXVIDVPEwj9</t>
  </si>
  <si>
    <t>KISS</t>
  </si>
  <si>
    <t>rock</t>
  </si>
  <si>
    <t>5kK5QHkx544IrrXBngWct3</t>
  </si>
  <si>
    <t>Neil Sedaka</t>
  </si>
  <si>
    <t>5pCRjB4ODnrZQOKkeck7BU</t>
  </si>
  <si>
    <t>blackwave.</t>
  </si>
  <si>
    <t>r&amp;b</t>
  </si>
  <si>
    <t>Low</t>
  </si>
  <si>
    <t>7IEi3VrMGDo4w8K2J9bk8h</t>
  </si>
  <si>
    <t>Boy Untitled</t>
  </si>
  <si>
    <t>7LRMbd3LEoV5wZJvXT1Lwb</t>
  </si>
  <si>
    <t>AC/DC</t>
  </si>
  <si>
    <t>5Fz2wrKAjhKpWeTwvE1Ct3</t>
  </si>
  <si>
    <t>Guns N' Roses</t>
  </si>
  <si>
    <t>64Ret7Tf2M8pDE4aqbW2tX</t>
  </si>
  <si>
    <t>Metallica</t>
  </si>
  <si>
    <t>5fqt5nfPEgbOuIajbZmkBv</t>
  </si>
  <si>
    <t>Childish Gambino</t>
  </si>
  <si>
    <t>5IZg7Ngm3CTOj9l00YSrt9</t>
  </si>
  <si>
    <t>Avicii</t>
  </si>
  <si>
    <t>6uBhi9gBXWjanegOb2Phh0</t>
  </si>
  <si>
    <t>Zedd</t>
  </si>
  <si>
    <t>6WQi91716ppIvo9QqaPTxK</t>
  </si>
  <si>
    <t>Ludacris</t>
  </si>
  <si>
    <t>rap</t>
  </si>
  <si>
    <t>6B9r2hH46YbSEvnivmeF5C</t>
  </si>
  <si>
    <t>N'Klabe</t>
  </si>
  <si>
    <t>6zddqIRjNzePlJNOF2W6IS</t>
  </si>
  <si>
    <t>Yuri</t>
  </si>
  <si>
    <t>2Zt4IqQqqVbIasXtNvJMDZ</t>
  </si>
  <si>
    <t>Farruko</t>
  </si>
  <si>
    <t>5uJMDTAxA9JwR5AhVqfTNZ</t>
  </si>
  <si>
    <t>Telehope</t>
  </si>
  <si>
    <t>70kYUoJbY7GMih4542i7mV</t>
  </si>
  <si>
    <t>S. Kiyotaka &amp; Omega Tribe</t>
  </si>
  <si>
    <t>5t5rCnsgRBtcKqTB7SbD1Q</t>
  </si>
  <si>
    <t>Damn Yankees</t>
  </si>
  <si>
    <t>3qgtGhoCutbBX73cd6ArCW</t>
  </si>
  <si>
    <t>DJ Snake</t>
  </si>
  <si>
    <t>1tMZpzeGkj5C0tKSnO2lrG</t>
  </si>
  <si>
    <t>Duran Duran</t>
  </si>
  <si>
    <t>1Oyoegq8YSlnhuDdNvgy7Z</t>
  </si>
  <si>
    <t>KKG</t>
  </si>
  <si>
    <t>6zJDw4HRcwXVsyaAfSZJQE</t>
  </si>
  <si>
    <t>The Tea Party</t>
  </si>
  <si>
    <t>5MhS1baQEdM4tTcK7DliM4</t>
  </si>
  <si>
    <t>Bassjackers</t>
  </si>
  <si>
    <t>63kMZoG9xuU96GQdioTCI4</t>
  </si>
  <si>
    <t>Thin Lizzy</t>
  </si>
  <si>
    <t>5x8m2FqsKVAhzFZiP4n35y</t>
  </si>
  <si>
    <t>Andrew Sound</t>
  </si>
  <si>
    <t>601KiLiZtBJRTXBrTjeieP</t>
  </si>
  <si>
    <t>Mac DeMarco</t>
  </si>
  <si>
    <t>0Hk1zuUABam9U5M634R0Fv</t>
  </si>
  <si>
    <t>Manu Crooks</t>
  </si>
  <si>
    <t>4M2Be8CcaY7AdaHYRHno4n</t>
  </si>
  <si>
    <t>Deeparture</t>
  </si>
  <si>
    <t>7du3YUjOcmIsIBvByjkvYa</t>
  </si>
  <si>
    <t>Mr. Polska</t>
  </si>
  <si>
    <t>6g1PQiyoaop6ktk2TLchtR</t>
  </si>
  <si>
    <t>Ice Cube</t>
  </si>
  <si>
    <t>58cTTb09onK2xQaftB7IGs</t>
  </si>
  <si>
    <t>Zilvano</t>
  </si>
  <si>
    <t>5YNthZljl3VVkWKWzL0gQv</t>
  </si>
  <si>
    <t>Cultivo</t>
  </si>
  <si>
    <t>1NeKY4qWsCnhY8fvhwQa7q</t>
  </si>
  <si>
    <t>The Delfonics</t>
  </si>
  <si>
    <t>4wzscvBb9JkSfiet1A8UQu</t>
  </si>
  <si>
    <t>Anderson .Paak</t>
  </si>
  <si>
    <t>5rbHxYjIAs4flh30UL66dO</t>
  </si>
  <si>
    <t>No Love For The Middle Child</t>
  </si>
  <si>
    <t>0EgmhYPgButfoBvtnidyR0</t>
  </si>
  <si>
    <t>Noname</t>
  </si>
  <si>
    <t>0UZhP6BBkksOGmJ3hAABRD</t>
  </si>
  <si>
    <t>Crossfade</t>
  </si>
  <si>
    <t>3GXo1eWlT2flv4x01l5OTu</t>
  </si>
  <si>
    <t>The Trammps</t>
  </si>
  <si>
    <t>331YbyNd4xRKm1VM8RXJ1A</t>
  </si>
  <si>
    <t>Intoxicated</t>
  </si>
  <si>
    <t>3uvKXKQxcmjPT7letWh3Pf</t>
  </si>
  <si>
    <t>Auxxk</t>
  </si>
  <si>
    <t>2poeTeH4ystQaVualzuBrk</t>
  </si>
  <si>
    <t>Pastor Troy</t>
  </si>
  <si>
    <t>26sHC8M6jrhNjlCDz01eAZ</t>
  </si>
  <si>
    <t>Ummet Ozcan</t>
  </si>
  <si>
    <t>0NA3qmF7whDKExwYa6V7WD</t>
  </si>
  <si>
    <t>Duke Dumont</t>
  </si>
  <si>
    <t>39BRogniQcxFIi9zKLxwxk</t>
  </si>
  <si>
    <t>Agusa</t>
  </si>
  <si>
    <t>6sMmjtWC8NbGokD3kg24Z3</t>
  </si>
  <si>
    <t>Liddy Clark</t>
  </si>
  <si>
    <t>2M2sRE3Z8ybw1vF3w99fVv</t>
  </si>
  <si>
    <t>Louzada</t>
  </si>
  <si>
    <t>4RCWB3V8V0dignt99LZ8vH</t>
  </si>
  <si>
    <t>Plain White T's</t>
  </si>
  <si>
    <t>6rReKrolZgh6rv97SVSxPE</t>
  </si>
  <si>
    <t>Hayley Kiyoko</t>
  </si>
  <si>
    <t>22POpFdpHAwCQLvgVuCS6R</t>
  </si>
  <si>
    <t>k?d</t>
  </si>
  <si>
    <t>3Gm0yg6GQN1tFnhUGYKQQT</t>
  </si>
  <si>
    <t>JGS</t>
  </si>
  <si>
    <t>47rks3vghBGi3B8q7ZIFkv</t>
  </si>
  <si>
    <t>gnash</t>
  </si>
  <si>
    <t>7EWx4sRu7PQJHAFD1Re9RD</t>
  </si>
  <si>
    <t>Afluen</t>
  </si>
  <si>
    <t>6E14SIHDOSBQhdg9cRtrRz</t>
  </si>
  <si>
    <t>Fullife</t>
  </si>
  <si>
    <t>4Y8oN01fJQqvR4fuwMPGlR</t>
  </si>
  <si>
    <t>Architrackz</t>
  </si>
  <si>
    <t>5RjS5iW0FWn1U4ZaWjhLlP</t>
  </si>
  <si>
    <t>Tasha Cobbs Leonard</t>
  </si>
  <si>
    <t>6Dg2RJihNlbkLSmtXY3p5f</t>
  </si>
  <si>
    <t>HONNE</t>
  </si>
  <si>
    <t>0IK8y0vAO0sM630HsxwLht</t>
  </si>
  <si>
    <t>Bohnes</t>
  </si>
  <si>
    <t>7oregTERsq3KGexzIqWhqW</t>
  </si>
  <si>
    <t>PashaPG</t>
  </si>
  <si>
    <t>5mVcyopMGY8dSpN1ZyaBUD</t>
  </si>
  <si>
    <t>R.K.M &amp; Ken-Y</t>
  </si>
  <si>
    <t>0dEPlb8waIqRtKpLb3l6So</t>
  </si>
  <si>
    <t>Juanes</t>
  </si>
  <si>
    <t>0kA5scXMiaO5Ms2GQ4pRWa</t>
  </si>
  <si>
    <t>Morrissey</t>
  </si>
  <si>
    <t>2TA9nZUGyYjR3Fd0CrPFot</t>
  </si>
  <si>
    <t>Charlie Puth</t>
  </si>
  <si>
    <t>0zhkLYpmMZyjtv03haC77Y</t>
  </si>
  <si>
    <t>Miky Woodz</t>
  </si>
  <si>
    <t>7K6th4aUMwWWqu3WfqgCrT</t>
  </si>
  <si>
    <t>Whistle</t>
  </si>
  <si>
    <t>3Ipgo2twyvBySMwsTzunlH</t>
  </si>
  <si>
    <t>Elder Island</t>
  </si>
  <si>
    <t>0WKYRFtH6KKbaNWjsxqm70</t>
  </si>
  <si>
    <t>Snoop Dogg</t>
  </si>
  <si>
    <t>1LHfEkVMR0Yj20C8lWdgpA</t>
  </si>
  <si>
    <t>Why Don't We</t>
  </si>
  <si>
    <t>09PFYYJuXJ961Kp8ZIxxpx</t>
  </si>
  <si>
    <t>Nu Shooz</t>
  </si>
  <si>
    <t>6VXY6JrOYxbswEaWqaZNgl</t>
  </si>
  <si>
    <t>Jonas Langer</t>
  </si>
  <si>
    <t>7cCRlUf8ayOJtTlWN7g8Ni</t>
  </si>
  <si>
    <t>Rio Roma</t>
  </si>
  <si>
    <t>53VHRWhYdLLkBli26hQ1hz</t>
  </si>
  <si>
    <t>Cheap Trick</t>
  </si>
  <si>
    <t>0SJPThTy7ynySPF4euczx7</t>
  </si>
  <si>
    <t>Fifth Harmony</t>
  </si>
  <si>
    <t>5LFtkeNjLpZAey3Arj3h4M</t>
  </si>
  <si>
    <t>Simon &amp; Garfunkel</t>
  </si>
  <si>
    <t>3Tiv2bF1OLCXXnuXaDKaG3</t>
  </si>
  <si>
    <t>X Ambassadors</t>
  </si>
  <si>
    <t>4dilm4mV9RQ7RrCW7dcePo</t>
  </si>
  <si>
    <t>Maverick Sabre</t>
  </si>
  <si>
    <t>0WZVGXO8FYpK8v1IDxlOyE</t>
  </si>
  <si>
    <t>Coldplay</t>
  </si>
  <si>
    <t>5bw3ANysdLNdRl8wZfunVp</t>
  </si>
  <si>
    <t>Kaskade</t>
  </si>
  <si>
    <t>5WyuRWUcOOhAic0tj9Pl28</t>
  </si>
  <si>
    <t>Lou Reed</t>
  </si>
  <si>
    <t>0w5Rwt6LQkzkp3nDmzDXUB</t>
  </si>
  <si>
    <t>Farnell Newton</t>
  </si>
  <si>
    <t>3vKqNw4TfDPY2UcWosAscs</t>
  </si>
  <si>
    <t>DJ Mibor</t>
  </si>
  <si>
    <t>0d2YnyIPgmPQqNSzDg8s8Q</t>
  </si>
  <si>
    <t>Staind</t>
  </si>
  <si>
    <t>0uPA6fX70cCdfG172jdcKO</t>
  </si>
  <si>
    <t>FKJ</t>
  </si>
  <si>
    <t>7jj0DeoBVMQrfdQrc9nTg5</t>
  </si>
  <si>
    <t>Riggi &amp; Piros</t>
  </si>
  <si>
    <t>75ZKw8JLaFsYr51J44fQ4N</t>
  </si>
  <si>
    <t>joan</t>
  </si>
  <si>
    <t>0M3ZIWNcizkhYFvn6RuCEz</t>
  </si>
  <si>
    <t>*NSYNC</t>
  </si>
  <si>
    <t>2OKJ8pSA2fwVvoLNQVW1PN</t>
  </si>
  <si>
    <t>Papa Reu</t>
  </si>
  <si>
    <t>4LmzPJDil70LpiApWfOI6O</t>
  </si>
  <si>
    <t>Kelis</t>
  </si>
  <si>
    <t>15ahYSiHAIMxAnujlXVtta</t>
  </si>
  <si>
    <t>LANY</t>
  </si>
  <si>
    <t>0M6KY0x5u65ybXHZ3IAega</t>
  </si>
  <si>
    <t>Reik</t>
  </si>
  <si>
    <t>6HvUtPLqkP0t6zd6YNdWby</t>
  </si>
  <si>
    <t>ABC</t>
  </si>
  <si>
    <t>0IHkWt2zUk8j35w9zqd1sZ</t>
  </si>
  <si>
    <t>Sylvan</t>
  </si>
  <si>
    <t>5gNqUqsAloKP3PrbRIq2BO</t>
  </si>
  <si>
    <t>Christian Wedvik</t>
  </si>
  <si>
    <t>32rUsiLCvd1yZWr4UFUoiu</t>
  </si>
  <si>
    <t>The Clash</t>
  </si>
  <si>
    <t>3kDNbgnKWe8rd7DL34tQwt</t>
  </si>
  <si>
    <t>Gene Loves Jezebel</t>
  </si>
  <si>
    <t>3oh6SCCeLuXhFpEyepla6G</t>
  </si>
  <si>
    <t>Blueface</t>
  </si>
  <si>
    <t>3vFbJ2n0sNzZG2HCww0BF9</t>
  </si>
  <si>
    <t>Neelo</t>
  </si>
  <si>
    <t>5eBQQUveFyP600lDg2zPD6</t>
  </si>
  <si>
    <t>Woodlock</t>
  </si>
  <si>
    <t>58p19uCI7m6fyLrRozd06q</t>
  </si>
  <si>
    <t>Regard</t>
  </si>
  <si>
    <t>5EdlwzcgIAYs2HGvOnczPN</t>
  </si>
  <si>
    <t>Andy Gibb</t>
  </si>
  <si>
    <t>54VhMO14MfyB9I9IUtjR6p</t>
  </si>
  <si>
    <t>R3HAB</t>
  </si>
  <si>
    <t>1wJUs2lr1drNrxMnJ0xAhE</t>
  </si>
  <si>
    <t>Fullbeta</t>
  </si>
  <si>
    <t>4m4PeMnGpkdM2ohko5dgKN</t>
  </si>
  <si>
    <t>Prince</t>
  </si>
  <si>
    <t>0mt80ksFAwPHXyAlArU5Yc</t>
  </si>
  <si>
    <t>The Deele</t>
  </si>
  <si>
    <t>3lX49Bqy21Y5HneUJ7p55G</t>
  </si>
  <si>
    <t>The Velvet Underground</t>
  </si>
  <si>
    <t>3L8DnKNfRS3vv13t1E5jc3</t>
  </si>
  <si>
    <t>Jimmie Vaughan</t>
  </si>
  <si>
    <t>6WQLkih8nE0JdUCEyLaGnQ</t>
  </si>
  <si>
    <t>Alesso</t>
  </si>
  <si>
    <t>3DwFmPs6pzLobxk5lcwihk</t>
  </si>
  <si>
    <t>TLC</t>
  </si>
  <si>
    <t>6RX5iL93VZ5fKmyvNXvF1r</t>
  </si>
  <si>
    <t>Beyonce</t>
  </si>
  <si>
    <t>3O4TPMOgChXOerSdB5WENH</t>
  </si>
  <si>
    <t>The Cure</t>
  </si>
  <si>
    <t>5Cbo7oz78gqkzV3EAM63VA</t>
  </si>
  <si>
    <t>Aitana</t>
  </si>
  <si>
    <t>4IgPfckJ6ItpFS7obnLRaD</t>
  </si>
  <si>
    <t>Manse</t>
  </si>
  <si>
    <t>1O8qWS9w2wI3jvPX8hg56W</t>
  </si>
  <si>
    <t>Migos</t>
  </si>
  <si>
    <t>31jM1k905s5TpVflu5KH2d</t>
  </si>
  <si>
    <t>Inkyz</t>
  </si>
  <si>
    <t>2eN2ujxIAg5P0t2jkLs75P</t>
  </si>
  <si>
    <t>Sander van Doorn</t>
  </si>
  <si>
    <t>10rChmECwPcvTTj4w07hq4</t>
  </si>
  <si>
    <t>Simple Plan</t>
  </si>
  <si>
    <t>2YL6ORlq8Ob2G5qhsvPL1M</t>
  </si>
  <si>
    <t>Claptone</t>
  </si>
  <si>
    <t>79zshLLUoqncCBkd9YfVUE</t>
  </si>
  <si>
    <t>Jerome</t>
  </si>
  <si>
    <t>4C8bbFSl37YUCoVeyr3Fl3</t>
  </si>
  <si>
    <t>India.Arie</t>
  </si>
  <si>
    <t>2TyGVInCFqKCNflq2WcQZW</t>
  </si>
  <si>
    <t>Xama</t>
  </si>
  <si>
    <t>07zLmWhKSWvJ6ZRdv5L9kE</t>
  </si>
  <si>
    <t>Armin van Buuren</t>
  </si>
  <si>
    <t>3vR6ivBSe0SWntHyEzh4X1</t>
  </si>
  <si>
    <t>Lil Scrappy</t>
  </si>
  <si>
    <t>6ltPEsP4edATzvinHOzvk2</t>
  </si>
  <si>
    <t>Dr. Dre</t>
  </si>
  <si>
    <t>1d2aoK9QGB4VPSSgG7UPrG</t>
  </si>
  <si>
    <t>Landon Holloway</t>
  </si>
  <si>
    <t>3b71h4RqnMZ4d7UmTOwA0m</t>
  </si>
  <si>
    <t>Win and Woo</t>
  </si>
  <si>
    <t>3ao5EtzaUJOnbtjjYRqPGG</t>
  </si>
  <si>
    <t>Paisley Pink</t>
  </si>
  <si>
    <t>28X0E21uKdA7S1HvgMJjP8</t>
  </si>
  <si>
    <t>Wolfgang Gartner</t>
  </si>
  <si>
    <t>3D1P3oPecqAQy2u33gAhsM</t>
  </si>
  <si>
    <t>Caribou</t>
  </si>
  <si>
    <t>6kex4EBAj0WHXDKZMEJaaF</t>
  </si>
  <si>
    <t>Jason Derulo</t>
  </si>
  <si>
    <t>6j4eSvLSgkb3ehJksCtq3w</t>
  </si>
  <si>
    <t>40xcrghLmBuKzRFSZ6klGZ</t>
  </si>
  <si>
    <t>U2</t>
  </si>
  <si>
    <t>4YZbVct8l9MnAVIROnLQdx</t>
  </si>
  <si>
    <t>Frank Ocean</t>
  </si>
  <si>
    <t>3j5DVpcCELigVZrmwGOw3X</t>
  </si>
  <si>
    <t>St. Vincent</t>
  </si>
  <si>
    <t>7yklZhCvqV4mWhaWv89hEO</t>
  </si>
  <si>
    <t>Crew Cardinal</t>
  </si>
  <si>
    <t>65elkRvvAVBuQupIVoZfn3</t>
  </si>
  <si>
    <t>Daniel Skye</t>
  </si>
  <si>
    <t>1FG7QNYVJz1x50D8AzOVQt</t>
  </si>
  <si>
    <t>Don Diablo</t>
  </si>
  <si>
    <t>1D6dE2mMlGz3WN1gjKQ76E</t>
  </si>
  <si>
    <t>Stereophonics</t>
  </si>
  <si>
    <t>5o9DZHMGopB2DoSSMTNzQR</t>
  </si>
  <si>
    <t>Paul Johnson</t>
  </si>
  <si>
    <t>6t44iU80A0h8WQ7vc4OoRj</t>
  </si>
  <si>
    <t>Paramore</t>
  </si>
  <si>
    <t>5FFD1qfYfW3b4zM2vYlMOx</t>
  </si>
  <si>
    <t>Tevin Campbell</t>
  </si>
  <si>
    <t>02bTIMbUm8Zgt0cVAiexE4</t>
  </si>
  <si>
    <t>WILD</t>
  </si>
  <si>
    <t>7fifwiZlUkN4h1V7Ahu3E8</t>
  </si>
  <si>
    <t>Sean Price</t>
  </si>
  <si>
    <t>3LN41NUdHkyNqQhi9gExMm</t>
  </si>
  <si>
    <t>Plies</t>
  </si>
  <si>
    <t>1LwP9g1Hjbs64jXM2Qsxry</t>
  </si>
  <si>
    <t>The Jesus and Mary Chain</t>
  </si>
  <si>
    <t>71A35JDEclcOvm8q7xwZKa</t>
  </si>
  <si>
    <t>Pete Rock &amp; C.L. Smooth</t>
  </si>
  <si>
    <t>3seflYvRN3gmh50Iih5yMd</t>
  </si>
  <si>
    <t>Donell Jones</t>
  </si>
  <si>
    <t>1lrspG06rzOUUGpdX3DrN1</t>
  </si>
  <si>
    <t>Quentyn</t>
  </si>
  <si>
    <t>0oo5zVjH4CyTsm5FctRlnL</t>
  </si>
  <si>
    <t>Ashley Tisdale</t>
  </si>
  <si>
    <t>2BxLZa6EKhBArtcvhn9HP3</t>
  </si>
  <si>
    <t>Sy Ari Da Kid</t>
  </si>
  <si>
    <t>5rgy6ghBq1eRApCkeUdJXf</t>
  </si>
  <si>
    <t>fun.</t>
  </si>
  <si>
    <t>5ZUYlw6DIVzPjbL4H7fG7c</t>
  </si>
  <si>
    <t>Zabson</t>
  </si>
  <si>
    <t>4lDKORchTM8Rd0PFQFXTLX</t>
  </si>
  <si>
    <t>Corona</t>
  </si>
  <si>
    <t>0cV0wQ9XgmP8pdRbF3lj2v</t>
  </si>
  <si>
    <t>Ontayd'artist</t>
  </si>
  <si>
    <t>2wJJNgD6GrKoQ435VxTRv6</t>
  </si>
  <si>
    <t>coldrain</t>
  </si>
  <si>
    <t>5N4av3FvMyJcMRsjnx5TYk</t>
  </si>
  <si>
    <t>Dewey da Don</t>
  </si>
  <si>
    <t>46gjSGy1qoGyK7sjv1wbkZ</t>
  </si>
  <si>
    <t>Raga</t>
  </si>
  <si>
    <t>5ybydtBlJJL82AprlvN7Lg</t>
  </si>
  <si>
    <t>Disclosure</t>
  </si>
  <si>
    <t>0ePiYPlCq3dhwfAjUttjT2</t>
  </si>
  <si>
    <t>Maria Jose</t>
  </si>
  <si>
    <t>0LcnZnhSQsoa9Dc51tj3wa</t>
  </si>
  <si>
    <t>7LkktUSWNxyR7YGVqQKjXt</t>
  </si>
  <si>
    <t>NxWorries</t>
  </si>
  <si>
    <t>44anLRFhwsFuwG5T7JvOWY</t>
  </si>
  <si>
    <t>Kim Petras</t>
  </si>
  <si>
    <t>47ioykvTZqjTNbXSzTijAM</t>
  </si>
  <si>
    <t>Koen Groeneveld</t>
  </si>
  <si>
    <t>40k5kY5YengXaNwU0tp01B</t>
  </si>
  <si>
    <t>Diamond la Mafia</t>
  </si>
  <si>
    <t>5XsYwCgd9jteFDpWx57xSP</t>
  </si>
  <si>
    <t>Father MC</t>
  </si>
  <si>
    <t>0JUWF44gfMszGNhjCF7Ufs</t>
  </si>
  <si>
    <t>Tomoko Aran</t>
  </si>
  <si>
    <t>5wBk1Z7mndjgTMOQ70lt8J</t>
  </si>
  <si>
    <t>Milly</t>
  </si>
  <si>
    <t>682gIKe9M4YJeDbw0Uqimn</t>
  </si>
  <si>
    <t>Tuff London</t>
  </si>
  <si>
    <t>5QArbhcHhpW48U4cK3Joj9</t>
  </si>
  <si>
    <t>$uicideBoy$</t>
  </si>
  <si>
    <t>38peLHRTxGZAd5TpEO3gB9</t>
  </si>
  <si>
    <t>The Libertines</t>
  </si>
  <si>
    <t>1ixSXH4wf5oHmGA07zoK3o</t>
  </si>
  <si>
    <t>Trent Reznor and Atticus Ross</t>
  </si>
  <si>
    <t>1hOGLXBL8HYD6ht08f15C5</t>
  </si>
  <si>
    <t>Flug</t>
  </si>
  <si>
    <t>6KGXbG5wEb6WlIFAGKDQh0</t>
  </si>
  <si>
    <t>Scorpions</t>
  </si>
  <si>
    <t>16oJQyfFenUOV6Mit7tMlo</t>
  </si>
  <si>
    <t>Venomenal</t>
  </si>
  <si>
    <t>4b6LMzBlyRMnHI1q5j8Zp0</t>
  </si>
  <si>
    <t>Sophie Ellis-Bextor</t>
  </si>
  <si>
    <t>5gBEdUKVZJgvQwNu8pIQqy</t>
  </si>
  <si>
    <t>Troye Sivan</t>
  </si>
  <si>
    <t>1CT9ebtobcouQw7G9mZ9AV</t>
  </si>
  <si>
    <t>Martin Garrix</t>
  </si>
  <si>
    <t>3sQfB3qhgsSTCdh55ai8zj</t>
  </si>
  <si>
    <t>Luke &amp; The Belleville Orchestra</t>
  </si>
  <si>
    <t>08qjPXZBdEyif5PxU2AY9S</t>
  </si>
  <si>
    <t>Anna of the North</t>
  </si>
  <si>
    <t>5TFyNdCLlC1ZRuwczqaS97</t>
  </si>
  <si>
    <t>Black Sabbath</t>
  </si>
  <si>
    <t>3wPPWcVuinAU7dXcJXtCID</t>
  </si>
  <si>
    <t>Naughty Boy</t>
  </si>
  <si>
    <t>6LGwYMXXgURfaequXipzHx</t>
  </si>
  <si>
    <t>Alicia Keys</t>
  </si>
  <si>
    <t>2aR6SYRJxy2QsBxA459ATF</t>
  </si>
  <si>
    <t>Solange</t>
  </si>
  <si>
    <t>0T54ZCylSgBsGpvjWCcteB</t>
  </si>
  <si>
    <t>Jordan Rakei</t>
  </si>
  <si>
    <t>0NqLrzqEqIzb8OcdFOzkJb</t>
  </si>
  <si>
    <t>Manolito Simonet y su Trabuco</t>
  </si>
  <si>
    <t>2ZrM2IfZelBZMZoBq9y4kj</t>
  </si>
  <si>
    <t>Lost Frequencies</t>
  </si>
  <si>
    <t>0Qfc9VDw6NsOjPRGcICS8c</t>
  </si>
  <si>
    <t>Sleepy Malo</t>
  </si>
  <si>
    <t>1kmdxgEGbd0BsJcqnNQXT6</t>
  </si>
  <si>
    <t>Scarface</t>
  </si>
  <si>
    <t>4XMRt4xFqLzGs4wDKkSSeu</t>
  </si>
  <si>
    <t>George Harrison</t>
  </si>
  <si>
    <t>6ksRossV4vKsXntCCZbhaM</t>
  </si>
  <si>
    <t>Sam Feldt</t>
  </si>
  <si>
    <t>5VJVEQSX5Sa3Jvl57F5sxN</t>
  </si>
  <si>
    <t>Jane Weaver</t>
  </si>
  <si>
    <t>6njG8EYG1lrROn8P6q46eq</t>
  </si>
  <si>
    <t>Murphy Lee</t>
  </si>
  <si>
    <t>0l0pHBglf8cL6JI62RpWnT</t>
  </si>
  <si>
    <t>The Made and The Born</t>
  </si>
  <si>
    <t>253ewjP2R1LjKqA70mGdnk</t>
  </si>
  <si>
    <t>Queen</t>
  </si>
  <si>
    <t>6AdxDoU5PNTWRmtWLu0ShI</t>
  </si>
  <si>
    <t>Clavee</t>
  </si>
  <si>
    <t>0BVRi6cizWdDrLRmKI0qsw</t>
  </si>
  <si>
    <t>Os Baroes Da Pisadinha</t>
  </si>
  <si>
    <t>2UzKsOZR20UMcry381W7eh</t>
  </si>
  <si>
    <t>Keo Nozari</t>
  </si>
  <si>
    <t>5I0u5YHYvA6fQZstVCFwqC</t>
  </si>
  <si>
    <t>Nejo</t>
  </si>
  <si>
    <t>6UN5APwiE4Ddmf4l11Jttc</t>
  </si>
  <si>
    <t>Elefante</t>
  </si>
  <si>
    <t>752q3k1ds8JckA7tIakICn</t>
  </si>
  <si>
    <t>Peter Schilling</t>
  </si>
  <si>
    <t>4CAfToI7igIFFmCzP8JxGl</t>
  </si>
  <si>
    <t>Chris Lawyer</t>
  </si>
  <si>
    <t>7FFpxe3RMrRhG63dFtgRed</t>
  </si>
  <si>
    <t>Elvis Crespo</t>
  </si>
  <si>
    <t>2xUHiyGeGrWmmfv7NbDTWC</t>
  </si>
  <si>
    <t>Drake</t>
  </si>
  <si>
    <t>0PdATekmkKwAlGMHyPW3QI</t>
  </si>
  <si>
    <t>The Federal Empire</t>
  </si>
  <si>
    <t>28yT0sZlkqStSByo1j58J4</t>
  </si>
  <si>
    <t>Sir Mix-A-Lot</t>
  </si>
  <si>
    <t>3Yqsx1OFZqPbULxXPLHlpq</t>
  </si>
  <si>
    <t>Major Lazer</t>
  </si>
  <si>
    <t>0BJTbkmrB2Y4E9M8qVzbYZ</t>
  </si>
  <si>
    <t>Washed Out</t>
  </si>
  <si>
    <t>2mbu1ssfb7h1RNO5jBv4cW</t>
  </si>
  <si>
    <t>Nick Murphy / Chet Faker</t>
  </si>
  <si>
    <t>3haIVEYCzkPb5pwTzbEFDE</t>
  </si>
  <si>
    <t>RUFUS DU SOL</t>
  </si>
  <si>
    <t>5Q7cE6wGHMehLFo2ppkk5D</t>
  </si>
  <si>
    <t>Blondie</t>
  </si>
  <si>
    <t>6DbqCKweKwVkHgRv1CI53D</t>
  </si>
  <si>
    <t>Huey</t>
  </si>
  <si>
    <t>1x0AirtLjfVquI0A9iBVep</t>
  </si>
  <si>
    <t>Papa Roach</t>
  </si>
  <si>
    <t>7z85Sqa3JrNebHK8sDtcRG</t>
  </si>
  <si>
    <t>Elton John</t>
  </si>
  <si>
    <t>4BUOfv1BDuFVcXIhjwDDxb</t>
  </si>
  <si>
    <t>7n5PLRFX7I5gcFIsheqXbl</t>
  </si>
  <si>
    <t>LAA</t>
  </si>
  <si>
    <t>4gv9eyEf7cXViNTBXS2g5C</t>
  </si>
  <si>
    <t>Daddy Yankee</t>
  </si>
  <si>
    <t>3YFAjMbTAyOvrnzmsGK8Zq</t>
  </si>
  <si>
    <t>4jkn5PRfAJoKfXF0OPL7n7</t>
  </si>
  <si>
    <t>Carly Simon</t>
  </si>
  <si>
    <t>0PP933bHgvV0eD19dG3ms5</t>
  </si>
  <si>
    <t>Whitesnake</t>
  </si>
  <si>
    <t>1HNkqx9Ahdgi1Ixy2xkKkL</t>
  </si>
  <si>
    <t>Ed Sheeran</t>
  </si>
  <si>
    <t>7JCp9oPXLc8Akz9bZpYZ09</t>
  </si>
  <si>
    <t>D.OZI</t>
  </si>
  <si>
    <t>2lmg77G2ypL40xfIqwFbI9</t>
  </si>
  <si>
    <t>Black Stone Cherry</t>
  </si>
  <si>
    <t>6N29ryH844QydR2Q3ULSdC</t>
  </si>
  <si>
    <t>Mabel</t>
  </si>
  <si>
    <t>2jv5jGgC1iFQ9Ury2ci9Y4</t>
  </si>
  <si>
    <t>Ja Rule</t>
  </si>
  <si>
    <t>1mW7XU6ws7O7OVBnQ64E8y</t>
  </si>
  <si>
    <t>Cory Chisel and the Wandering Sons</t>
  </si>
  <si>
    <t>2lYTJK94hb0fd1LQtb6Dhk</t>
  </si>
  <si>
    <t>David Guetta</t>
  </si>
  <si>
    <t>1IIYOuxT9djbArUWP1yE1a</t>
  </si>
  <si>
    <t>Adrian Emile</t>
  </si>
  <si>
    <t>1wAIjMwxC3KjRqHpaMkFvC</t>
  </si>
  <si>
    <t>JOYRYDE</t>
  </si>
  <si>
    <t>5sCwso3aURYAdieWEFI1nE</t>
  </si>
  <si>
    <t>Logic</t>
  </si>
  <si>
    <t>5Gi8lLH3edcexP99srU1Nl</t>
  </si>
  <si>
    <t>5p0TXXHvJgbvW3xpgZca5j</t>
  </si>
  <si>
    <t>Rasmus Faber</t>
  </si>
  <si>
    <t>09lgtisfbv0A7IdGAHGrOS</t>
  </si>
  <si>
    <t>MESSIAH!</t>
  </si>
  <si>
    <t>3MF3HJ5dmKm8SiVKXAsQsR</t>
  </si>
  <si>
    <t>Geto Boys</t>
  </si>
  <si>
    <t>1rzc5izgXXn4KsSmibtNpT</t>
  </si>
  <si>
    <t>Ella Vos</t>
  </si>
  <si>
    <t>5tlrEiYWEl0fsa6OFoV5EI</t>
  </si>
  <si>
    <t>DJ DMD</t>
  </si>
  <si>
    <t>4WzamSygZIzZek6rIqFSHn</t>
  </si>
  <si>
    <t>Christian Burghardt</t>
  </si>
  <si>
    <t>58VTMFtsoe0E0vSX1pV03h</t>
  </si>
  <si>
    <t>7Aq7xOKfeuF3LYUw9KThRK</t>
  </si>
  <si>
    <t>Marco Maggiore</t>
  </si>
  <si>
    <t>6MCoVicJXlNSLh5lETQJxe</t>
  </si>
  <si>
    <t>Horace Brown</t>
  </si>
  <si>
    <t>39CGO7vhsI9eSzY29omwoC</t>
  </si>
  <si>
    <t>ValsBezig</t>
  </si>
  <si>
    <t>7r6KRHz2HAjoaBQCtQJfzR</t>
  </si>
  <si>
    <t>7e4KQkp5ZR1gXCAalRjX6B</t>
  </si>
  <si>
    <t>Kehlani</t>
  </si>
  <si>
    <t>3siZ8Gr2G9zelmm1NZOmP3</t>
  </si>
  <si>
    <t>Volbeat</t>
  </si>
  <si>
    <t>1ko2lVN0vKGUl9zrU0qSlT</t>
  </si>
  <si>
    <t>Grover Washington, Jr.</t>
  </si>
  <si>
    <t>7y7fPt0Tbv7IW4NLjrIpG4</t>
  </si>
  <si>
    <t>Galantis</t>
  </si>
  <si>
    <t>3v1ypIgbtMEzYf3mxNFokn</t>
  </si>
  <si>
    <t>Olexesh</t>
  </si>
  <si>
    <t>3QGsuHI8jO1Rx4JWLUh9jd</t>
  </si>
  <si>
    <t>Shawn Mendes</t>
  </si>
  <si>
    <t>4fUU9WKxEgJXyrZJsUA2iP</t>
  </si>
  <si>
    <t>The Marshall Tucker Band</t>
  </si>
  <si>
    <t>1H2pRxXY56cJsNgAS3yC21</t>
  </si>
  <si>
    <t>GNAR</t>
  </si>
  <si>
    <t>58ENoZ4jRR0tnHPagOwYqk</t>
  </si>
  <si>
    <t>3Ae2o4djhhgBJ7R1gkJpZv</t>
  </si>
  <si>
    <t>Lauren Sanderson</t>
  </si>
  <si>
    <t>1SecZZ1PFDam8uCsoQ7BnO</t>
  </si>
  <si>
    <t>Natti Natasha</t>
  </si>
  <si>
    <t>6vFtGakq3y0mYVyACQGeJ7</t>
  </si>
  <si>
    <t>GAB</t>
  </si>
  <si>
    <t>366S9c0rQtvrkclcCSRNmB</t>
  </si>
  <si>
    <t>Naeleck</t>
  </si>
  <si>
    <t>03bF2V5oDkhYDrMY6m7ZLB</t>
  </si>
  <si>
    <t>Sandro Silva</t>
  </si>
  <si>
    <t>7DmhyegXAiu0yTy7nRI0yg</t>
  </si>
  <si>
    <t>Sick Individuals</t>
  </si>
  <si>
    <t>2ZMwTK0c3nOZzvIgmtdHMf</t>
  </si>
  <si>
    <t>Jermaine Hardsoul</t>
  </si>
  <si>
    <t>0wmzw4EVXp2XrOC47r6IOK</t>
  </si>
  <si>
    <t>Caifanes</t>
  </si>
  <si>
    <t>7Kt59L2ZZGtOnIhvMwzG6f</t>
  </si>
  <si>
    <t>Rihanna</t>
  </si>
  <si>
    <t>26fw0kxJC9jfo9iPt7R2Yp</t>
  </si>
  <si>
    <t>Gigi D'Alessio</t>
  </si>
  <si>
    <t>5LiW25vFN2BzrceU27R8qy</t>
  </si>
  <si>
    <t>Renee Sandstrom</t>
  </si>
  <si>
    <t>2wQ411UQL2MRsdAgPRUstT</t>
  </si>
  <si>
    <t>Vicetone</t>
  </si>
  <si>
    <t>5HJiNvg6s7ovq5kPrztHKp</t>
  </si>
  <si>
    <t>0J0busYTWpcKAcryFukUuk</t>
  </si>
  <si>
    <t>ARIA</t>
  </si>
  <si>
    <t>2p6PmhAtI3WkAOGDbnJp19</t>
  </si>
  <si>
    <t>Echosmith</t>
  </si>
  <si>
    <t>7psTNaKmJxmF33orqN4a9P</t>
  </si>
  <si>
    <t>Fra Lippo Lippi</t>
  </si>
  <si>
    <t>5K7RDuh2JihPUScuOB76Sq</t>
  </si>
  <si>
    <t>0B96zBzTZ8Tr7jve5o9kCz</t>
  </si>
  <si>
    <t>Eazy2Cool</t>
  </si>
  <si>
    <t>2D52zjCyqEIQa221lhw6uk</t>
  </si>
  <si>
    <t>Thirty Seconds To Mars</t>
  </si>
  <si>
    <t>6zsk6uF3MxfIeHPlubKBvR</t>
  </si>
  <si>
    <t>Missy Elliott</t>
  </si>
  <si>
    <t>6ZQSvQh5wb2M5AaEaoymMY</t>
  </si>
  <si>
    <t>Blackstreet</t>
  </si>
  <si>
    <t>36QG29bbGuJkxNgzY6o9Mu</t>
  </si>
  <si>
    <t>Godsmack</t>
  </si>
  <si>
    <t>4UqjZIuVnQ45NqUmSz5CP1</t>
  </si>
  <si>
    <t>Flyboiz</t>
  </si>
  <si>
    <t>4VOSwu01kbILSLnLTD6oG0</t>
  </si>
  <si>
    <t>South Circle</t>
  </si>
  <si>
    <t>62vwXXITnuKIaCabwWXyhm</t>
  </si>
  <si>
    <t>Felp 22</t>
  </si>
  <si>
    <t>3eGBESLT08agei7veoLLlz</t>
  </si>
  <si>
    <t>N.W.A.</t>
  </si>
  <si>
    <t>0PHwCbA310LLIMcSDpQbgF</t>
  </si>
  <si>
    <t>FKA twigs</t>
  </si>
  <si>
    <t>60TmG8cFPMBo7kTTFOLiAB</t>
  </si>
  <si>
    <t>Orchestral Manoeuvres In The Dark</t>
  </si>
  <si>
    <t>1Hy0m0aaG67ttQZoytmKd8</t>
  </si>
  <si>
    <t>Black Veil Brides</t>
  </si>
  <si>
    <t>7DtaoVCnStRPqC1bs3xZ1Y</t>
  </si>
  <si>
    <t>American Sin</t>
  </si>
  <si>
    <t>3nbi8TqJu1eLHYWJefcJp4</t>
  </si>
  <si>
    <t>Estelle</t>
  </si>
  <si>
    <t>61AsTu6vfuLieRBzhjskSy</t>
  </si>
  <si>
    <t>Ms. Lauryn Hill</t>
  </si>
  <si>
    <t>1QXhzptk3KMnO8xewGePhu</t>
  </si>
  <si>
    <t>Kirk Franklin</t>
  </si>
  <si>
    <t>1ulVKX61ePVrT81RLFqrOj</t>
  </si>
  <si>
    <t>Musiq Soulchild</t>
  </si>
  <si>
    <t>43GS3mtezoIFiuIZCLLiDY</t>
  </si>
  <si>
    <t>Poison</t>
  </si>
  <si>
    <t>5WBGDhBBIKqnJdPFlSmCWc</t>
  </si>
  <si>
    <t>Daley</t>
  </si>
  <si>
    <t>4IEKd1d4UAMeMjVG95yw0x</t>
  </si>
  <si>
    <t>Guy</t>
  </si>
  <si>
    <t>2VsKJODsXzU1NtoFYIh9FM</t>
  </si>
  <si>
    <t>Nai Palm</t>
  </si>
  <si>
    <t>7s4eOa9D4Qt7o3iRChaVIu</t>
  </si>
  <si>
    <t>U.K.</t>
  </si>
  <si>
    <t>4fxeVw0mf5eHVvunUtcVZG</t>
  </si>
  <si>
    <t>Fairlane</t>
  </si>
  <si>
    <t>7sAJ1vUvwOb6qGx73SOrJC</t>
  </si>
  <si>
    <t>Fytch</t>
  </si>
  <si>
    <t>7EEaV81pUNKvqsTrEHGoQH</t>
  </si>
  <si>
    <t>Palisades</t>
  </si>
  <si>
    <t>6j8eH9frh703HaGBaSRS6u</t>
  </si>
  <si>
    <t>Glaceo</t>
  </si>
  <si>
    <t>6U20jK4eAcXGUuodqMugY6</t>
  </si>
  <si>
    <t>Sofia Campos</t>
  </si>
  <si>
    <t>4kJsFdyo6y8l1UR5mDMmjN</t>
  </si>
  <si>
    <t>Erick Morillo</t>
  </si>
  <si>
    <t>13xKh7WqwxzEFYhYCJJwHg</t>
  </si>
  <si>
    <t>Teena Marie</t>
  </si>
  <si>
    <t>4Yq4i6ISO9v5NFYaiWgR4C</t>
  </si>
  <si>
    <t>Rod Stewart</t>
  </si>
  <si>
    <t>7ILH9xthuxo4i4bTXpwDcZ</t>
  </si>
  <si>
    <t>5LskeIhrR7YqlbrPWZJRLe</t>
  </si>
  <si>
    <t>Britney Spears</t>
  </si>
  <si>
    <t>37WThuwPuTsonUbRbeGZXz</t>
  </si>
  <si>
    <t>Koralle</t>
  </si>
  <si>
    <t>5NiuxHp2iXSwj0iaQU7TpH</t>
  </si>
  <si>
    <t>Tektrik</t>
  </si>
  <si>
    <t>37OjKpGDZngkru4ToHVz4V</t>
  </si>
  <si>
    <t>Sobel</t>
  </si>
  <si>
    <t>1CpCIb8zybdjskLQRL6rEC</t>
  </si>
  <si>
    <t>5BZlA4HSV36XZqnfOQOzyz</t>
  </si>
  <si>
    <t>Macross 82-99</t>
  </si>
  <si>
    <t>5XIFByQ50iYfQF1gstwnwt</t>
  </si>
  <si>
    <t>Rafael Cerato</t>
  </si>
  <si>
    <t>63ZtaTHM7Cu3JEca5xrWi3</t>
  </si>
  <si>
    <t>Audien</t>
  </si>
  <si>
    <t>51YoY9qjpQlzNFtFnxW7as</t>
  </si>
  <si>
    <t>Flying Colors</t>
  </si>
  <si>
    <t>2lef7yeg5qkPNt0ptulqfW</t>
  </si>
  <si>
    <t>3B9xcYBh5jiPDb4gwHwx6O</t>
  </si>
  <si>
    <t>Deepmaniak</t>
  </si>
  <si>
    <t>4Qz9GBK1FKWPW8lAToCuKQ</t>
  </si>
  <si>
    <t>Gorillaz</t>
  </si>
  <si>
    <t>6PeQHDiVcDzwuuLnUIgrPm</t>
  </si>
  <si>
    <t>Freak Daddy</t>
  </si>
  <si>
    <t>6uCmU6ldcsVpLAKNCojVg8</t>
  </si>
  <si>
    <t>Andrew McMahon in the Wilderness</t>
  </si>
  <si>
    <t>3Nf8oGn1okobzjDcFCvT6n</t>
  </si>
  <si>
    <t>Pretenders</t>
  </si>
  <si>
    <t>2uduMoxSNLkDBhyLS2JroT</t>
  </si>
  <si>
    <t>3PzsbWSQdLCKDLxn7YZfkM</t>
  </si>
  <si>
    <t>Bruce Springsteen</t>
  </si>
  <si>
    <t>4rPNlXjFSkaZF1tnjdV04C</t>
  </si>
  <si>
    <t>K-391</t>
  </si>
  <si>
    <t>5IXV375WDokSNjZfR4GgnU</t>
  </si>
  <si>
    <t>Aloe Blacc</t>
  </si>
  <si>
    <t>63tg0BOsXkohsjx3B87ui6</t>
  </si>
  <si>
    <t>REO Speedwagon</t>
  </si>
  <si>
    <t>5SNTUBSq1Qzi0URdB443h1</t>
  </si>
  <si>
    <t>5qVF2rEf75oPrZHhmZmDKk</t>
  </si>
  <si>
    <t>Delinquent Habits</t>
  </si>
  <si>
    <t>0N4RL8OFtthWHPY7QuRywo</t>
  </si>
  <si>
    <t>Bad Suns</t>
  </si>
  <si>
    <t>084bAsP5BM5GdrkWyLZD9m</t>
  </si>
  <si>
    <t>Nidza Bleja</t>
  </si>
  <si>
    <t>7eV9ueaDltzZ9TVAeFRoVZ</t>
  </si>
  <si>
    <t>King Arthur</t>
  </si>
  <si>
    <t>0cYzIKaobR7yaxjMTRvO6P</t>
  </si>
  <si>
    <t>UGK</t>
  </si>
  <si>
    <t>4Ko9JaLUvf54PmluMaDCqm</t>
  </si>
  <si>
    <t>Vacacion</t>
  </si>
  <si>
    <t>2sgFcPyljVU6Zg5Q0hHdwE</t>
  </si>
  <si>
    <t>Sidhu Moose Wala</t>
  </si>
  <si>
    <t>5RsHNGJRuEpWPPt32d6Ewp</t>
  </si>
  <si>
    <t>Wyko</t>
  </si>
  <si>
    <t>4Zz6VnbuykOejSpGOahS4E</t>
  </si>
  <si>
    <t>Nicky Romero</t>
  </si>
  <si>
    <t>6wtcxwSJs82tpdeIoj93LF</t>
  </si>
  <si>
    <t>STRFKR</t>
  </si>
  <si>
    <t>2OAylPUDDfwRGfe0lYqlCQ</t>
  </si>
  <si>
    <t>Katy Perry</t>
  </si>
  <si>
    <t>4Gaco6SiHpZhnPvNsXH6Iy</t>
  </si>
  <si>
    <t>ONE OK ROCK</t>
  </si>
  <si>
    <t>03nYlT73VrrZdiw3ZaTuti</t>
  </si>
  <si>
    <t>Manuel Turizo</t>
  </si>
  <si>
    <t>6vQwuQSRhj9ZCQHEb7qet2</t>
  </si>
  <si>
    <t>Wolfgang Lohr</t>
  </si>
  <si>
    <t>3ItEUMz1CKL5CJxmnBAADO</t>
  </si>
  <si>
    <t>Makiza</t>
  </si>
  <si>
    <t>2BdSaGVMxZzEeJYjjrlo6n</t>
  </si>
  <si>
    <t>Lenny Kravitz</t>
  </si>
  <si>
    <t>48wtJb8w1yNSLBVy5q9Wos</t>
  </si>
  <si>
    <t>3qC3qmZNDXu62hc8YbhWsy</t>
  </si>
  <si>
    <t>6WEBIVqiEsevfgJefTyuQQ</t>
  </si>
  <si>
    <t>Kajagoogoo</t>
  </si>
  <si>
    <t>7bnqNC0CBeaD09RGUG3FBm</t>
  </si>
  <si>
    <t>Madison Mars</t>
  </si>
  <si>
    <t>5HBV5AtynDJ2ou9yh058kn</t>
  </si>
  <si>
    <t>Rob Stepwart</t>
  </si>
  <si>
    <t>1Xq4fBayQtSJlcYZsPDY4C</t>
  </si>
  <si>
    <t>Aaron Smith</t>
  </si>
  <si>
    <t>6WkSUgo1VdpzgtiXKlFPcY</t>
  </si>
  <si>
    <t>blink-182</t>
  </si>
  <si>
    <t>6ZrVIQPKkdOvLO4PS12vzZ</t>
  </si>
  <si>
    <t>Luke Robert White</t>
  </si>
  <si>
    <t>1v1IXPXl73Z7zy6f5tUa9n</t>
  </si>
  <si>
    <t>1CT1dgsDKm4n0ykVyoBj3R</t>
  </si>
  <si>
    <t>YonYon</t>
  </si>
  <si>
    <t>0vPkRB52RENZMpHybpFKYK</t>
  </si>
  <si>
    <t>Motionless In White</t>
  </si>
  <si>
    <t>0gaMmmhGi5buPXpquSAfxg</t>
  </si>
  <si>
    <t>Rainbow</t>
  </si>
  <si>
    <t>6g1NlCpW7fgqDnWbCCDrHl</t>
  </si>
  <si>
    <t>14g6foD6sxO1qgkDKuPgWv</t>
  </si>
  <si>
    <t>The Replacements</t>
  </si>
  <si>
    <t>3LmiKN6q3OwFD3sV8rhkk2</t>
  </si>
  <si>
    <t>2VyOpoblI3AHO6R8dr87Ia</t>
  </si>
  <si>
    <t>The Smiths</t>
  </si>
  <si>
    <t>1oT20g6f8rvymheUIdFr19</t>
  </si>
  <si>
    <t>Stevie Ray Vaughan</t>
  </si>
  <si>
    <t>5a251qN4R86hro8UZGuO4E</t>
  </si>
  <si>
    <t>WC</t>
  </si>
  <si>
    <t>1A474NyT5UKjqElE2JN6Km</t>
  </si>
  <si>
    <t>Alvaro Rod</t>
  </si>
  <si>
    <t>5ckVDfifdJnKEabvjojde4</t>
  </si>
  <si>
    <t>Jurassic 5</t>
  </si>
  <si>
    <t>1NW32mer4GFgDvDZ0idTUt</t>
  </si>
  <si>
    <t>0u94ND2IKIgSiPg6Ln1SNb</t>
  </si>
  <si>
    <t>The Last Skeptik</t>
  </si>
  <si>
    <t>1rEE9uPXdjBNa35RNPtJb3</t>
  </si>
  <si>
    <t>DVBBS</t>
  </si>
  <si>
    <t>1PB9UotL07ZdTjarKoL7zt</t>
  </si>
  <si>
    <t>Ariel T</t>
  </si>
  <si>
    <t>3Noa5kppo2crIEMpwOmsHf</t>
  </si>
  <si>
    <t>Floetry</t>
  </si>
  <si>
    <t>7m97u5zpSWqkDjN4uwY2LP</t>
  </si>
  <si>
    <t>Greyson Chance</t>
  </si>
  <si>
    <t>4VoXQm2FFuiTj2crflcCnd</t>
  </si>
  <si>
    <t>Chris Espo</t>
  </si>
  <si>
    <t>6INwti4FZM31l0lJDKbpxn</t>
  </si>
  <si>
    <t>Klingande</t>
  </si>
  <si>
    <t>7q85sngNN23APYpE03lFHu</t>
  </si>
  <si>
    <t>Fotty Seven</t>
  </si>
  <si>
    <t>7iymoplUkeIAat6dSn6wrR</t>
  </si>
  <si>
    <t>3ujstzIS9rVc7HlCg0Xwmo</t>
  </si>
  <si>
    <t>587qpoPHuXkSRSykLM4EBp</t>
  </si>
  <si>
    <t>Ari Lennox</t>
  </si>
  <si>
    <t>6tgknDU0VMbXILuWixFKKn</t>
  </si>
  <si>
    <t>Tyler, The Creator</t>
  </si>
  <si>
    <t>7mSzGfqRC1GI8fTpRkhnwz</t>
  </si>
  <si>
    <t>Aanysa</t>
  </si>
  <si>
    <t>6lppKNQ2cJmxITiSRs2952</t>
  </si>
  <si>
    <t>Honeywagon</t>
  </si>
  <si>
    <t>6hazdpTPlt5W2BTCGYKBoj</t>
  </si>
  <si>
    <t>0OwvrdjaJOypNsNQHyBWE5</t>
  </si>
  <si>
    <t>Marlena Shaw</t>
  </si>
  <si>
    <t>7JjlC99O9Gub3yKge26LyK</t>
  </si>
  <si>
    <t>Wiz Khalifa</t>
  </si>
  <si>
    <t>62zFEHfAYl5kdHYOivj4BC</t>
  </si>
  <si>
    <t>Pitbull</t>
  </si>
  <si>
    <t>2kZQOcg3c838TB1C90pvc8</t>
  </si>
  <si>
    <t>KLOEF TJR</t>
  </si>
  <si>
    <t>08PPWoWOXNWxWoMGSADdSq</t>
  </si>
  <si>
    <t>Will To Power</t>
  </si>
  <si>
    <t>5v54ZQ0glzbB9XUPTaX0cj</t>
  </si>
  <si>
    <t>Hardwell</t>
  </si>
  <si>
    <t>3UD1XZiA0iP29KI3FuK5Xw</t>
  </si>
  <si>
    <t>SWV</t>
  </si>
  <si>
    <t>6GvSHhIxdWaQJbiQyzdOCy</t>
  </si>
  <si>
    <t>Triple Seven</t>
  </si>
  <si>
    <t>1Q34tAtTWI6RdW1qzFQiPb</t>
  </si>
  <si>
    <t>James Taylor</t>
  </si>
  <si>
    <t>0i00AL9toLfJeb4VlWLvSi</t>
  </si>
  <si>
    <t>Gloria Estefan</t>
  </si>
  <si>
    <t>1gdrNesoUadTXNdVaKS2t3</t>
  </si>
  <si>
    <t>Ryuji Imaichi</t>
  </si>
  <si>
    <t>76fY0vhiDWoyZZ48JH3ulF</t>
  </si>
  <si>
    <t>quickly, quickly</t>
  </si>
  <si>
    <t>2VXjgueoSOIxAEswR3uRsp</t>
  </si>
  <si>
    <t>1ssmjAYSU5PbmsjLq5yrNH</t>
  </si>
  <si>
    <t>Sia</t>
  </si>
  <si>
    <t>78RIER8V6EhrqVPOBi2GYa</t>
  </si>
  <si>
    <t>Eurythmics</t>
  </si>
  <si>
    <t>7gVC9FXLXlMla0p34PEhFI</t>
  </si>
  <si>
    <t>KASIMIR1441</t>
  </si>
  <si>
    <t>12wyGF0d1ohSLtJ0wF5Sjy</t>
  </si>
  <si>
    <t>Dirty South</t>
  </si>
  <si>
    <t>6TgBXzpqMImjitAE1dRglH</t>
  </si>
  <si>
    <t>Thorbjorn Risager</t>
  </si>
  <si>
    <t>4od3o9g3lRGDJBgu4MXt2N</t>
  </si>
  <si>
    <t>Haze</t>
  </si>
  <si>
    <t>0OP1RzrglC008kj79Httv3</t>
  </si>
  <si>
    <t>Bad Gyal</t>
  </si>
  <si>
    <t>4TidZppKEGjlxB99IxZCeu</t>
  </si>
  <si>
    <t>KAY JAM</t>
  </si>
  <si>
    <t>0rgeqFt46ZuOKiEbNWQTQo</t>
  </si>
  <si>
    <t>Jael</t>
  </si>
  <si>
    <t>1jCsCYgzQQHk3bDJDuFbNi</t>
  </si>
  <si>
    <t>Shai</t>
  </si>
  <si>
    <t>3hmvIloDMQzh90YEz57Ewr</t>
  </si>
  <si>
    <t>Lowen</t>
  </si>
  <si>
    <t>5fTtU7f2nzmTE7fP5aCx7Z</t>
  </si>
  <si>
    <t>Jamie Woon</t>
  </si>
  <si>
    <t>1w59KTZidiW3NN0FA7xVGZ</t>
  </si>
  <si>
    <t>CVBZ</t>
  </si>
  <si>
    <t>3Zk7RiAdIeNoRS4aSDuBA0</t>
  </si>
  <si>
    <t>Jagsy</t>
  </si>
  <si>
    <t>330XSiXMe9wHbE8Fy4gPth</t>
  </si>
  <si>
    <t>Cypress Hill</t>
  </si>
  <si>
    <t>3aY5lNTXxsZB3S0CJPsBAH</t>
  </si>
  <si>
    <t>John Belthoff</t>
  </si>
  <si>
    <t>2ORySgkn0CbUMFbEoP1wwE</t>
  </si>
  <si>
    <t>Journey</t>
  </si>
  <si>
    <t>1gzIbdFnGJ226LTl0Cn2SX</t>
  </si>
  <si>
    <t>Billy Idol</t>
  </si>
  <si>
    <t>3DdCb7EyPUcUD0LKWkJ0L7</t>
  </si>
  <si>
    <t>Aqua</t>
  </si>
  <si>
    <t>6fjsIxSPXnOjQleb11AYNU</t>
  </si>
  <si>
    <t>Fantasia</t>
  </si>
  <si>
    <t>1bcklQyAGzDxQiNMczMLt6</t>
  </si>
  <si>
    <t>Def Leppard</t>
  </si>
  <si>
    <t>6g9FyBtYg9qnpF2IP1Cd0J</t>
  </si>
  <si>
    <t>Raheem DeVaughn</t>
  </si>
  <si>
    <t>7r3Hwig1mvtlVq0ZbJ09Wb</t>
  </si>
  <si>
    <t>Clarence Carter</t>
  </si>
  <si>
    <t>7iwhbx1YQcQ675DTj6AmAb</t>
  </si>
  <si>
    <t>26AIHH0JMIP8sd7YBM5uWb</t>
  </si>
  <si>
    <t>Valentino Khan</t>
  </si>
  <si>
    <t>7MMV0p9GGiOaQaTvvjELC7</t>
  </si>
  <si>
    <t>Stream</t>
  </si>
  <si>
    <t>0CMRCkUdmiHGt7EzEUIskU</t>
  </si>
  <si>
    <t>!deladap</t>
  </si>
  <si>
    <t>3VZQshi4COChhXaz7cLP02</t>
  </si>
  <si>
    <t>Icona Pop</t>
  </si>
  <si>
    <t>2wrHFNnQoGJ9ORiXmyBoSA</t>
  </si>
  <si>
    <t>Julian Kerins</t>
  </si>
  <si>
    <t>1TpZwINMh0YEKTuvYHG300</t>
  </si>
  <si>
    <t>Juvenile</t>
  </si>
  <si>
    <t>1vaYGUPwe4Qmi7vsLZdVmC</t>
  </si>
  <si>
    <t>Jayboogz</t>
  </si>
  <si>
    <t>7Hqk2UdLJjeOAf0x35HnNl</t>
  </si>
  <si>
    <t>Dennis Ferrer</t>
  </si>
  <si>
    <t>2KHGTpNTXeD9Z9GjaKTwAV</t>
  </si>
  <si>
    <t>Kygo</t>
  </si>
  <si>
    <t>1EkfLPVfNN7ycOpCattXKK</t>
  </si>
  <si>
    <t>Roberto Bates</t>
  </si>
  <si>
    <t>6HSqyfGnsHYw9MmIpa9zlZ</t>
  </si>
  <si>
    <t>4alHo6RGd0D3OUbTPExTHN</t>
  </si>
  <si>
    <t>The Cars</t>
  </si>
  <si>
    <t>5DWaEpFT3vqOrr3fTaOhA6</t>
  </si>
  <si>
    <t>Fickle Friends</t>
  </si>
  <si>
    <t>3ngpmF7yiqVMesqqGuepX1</t>
  </si>
  <si>
    <t>NLE Choppa</t>
  </si>
  <si>
    <t>3hW39WV7Wwd3WkUwZai3FU</t>
  </si>
  <si>
    <t>OYABUN</t>
  </si>
  <si>
    <t>2bZYJvVRN5EqIvAUFhUNls</t>
  </si>
  <si>
    <t>3FCto7hnn1shUyZL42YgfO</t>
  </si>
  <si>
    <t>Billy Joel</t>
  </si>
  <si>
    <t>3E2jVBZU7fjRNB0m3PrrhF</t>
  </si>
  <si>
    <t>Wisin &amp; Yandel</t>
  </si>
  <si>
    <t>2OccinWNEPIEmZPkqnLPSR</t>
  </si>
  <si>
    <t>Garmiani</t>
  </si>
  <si>
    <t>0jV2HSzU144aRkPJ198PpC</t>
  </si>
  <si>
    <t>Feenixpawl</t>
  </si>
  <si>
    <t>3BASVV5qZWarRhl9IhAiA7</t>
  </si>
  <si>
    <t>Gepe</t>
  </si>
  <si>
    <t>4fC2lfF8YzQuyJTiQsbHkQ</t>
  </si>
  <si>
    <t>Clarens</t>
  </si>
  <si>
    <t>3UQAKY0SUEonxneROvv4jy</t>
  </si>
  <si>
    <t>The Notorious B.I.G.</t>
  </si>
  <si>
    <t>6CO62sXA0V1JhdgE7E2VeW</t>
  </si>
  <si>
    <t>Bastille</t>
  </si>
  <si>
    <t>26Fqtv4Aa7kyd1WWGHai6A</t>
  </si>
  <si>
    <t>The Weeknd</t>
  </si>
  <si>
    <t>0KwlzQaySxzPkt0nELecnx</t>
  </si>
  <si>
    <t>Mesto</t>
  </si>
  <si>
    <t>0mke2MXjPsEipNCtDUu7m6</t>
  </si>
  <si>
    <t>Mike Vallas</t>
  </si>
  <si>
    <t>3nqnWEZnYoetfO2ksMZZVK</t>
  </si>
  <si>
    <t>Grand Puba</t>
  </si>
  <si>
    <t>3IOvs8528ie9laMQO4PLPD</t>
  </si>
  <si>
    <t>0mcBgVRVsvESTkEyVHt7Ue</t>
  </si>
  <si>
    <t>Darell</t>
  </si>
  <si>
    <t>0VOsR3sEACivA46VDuaLai</t>
  </si>
  <si>
    <t>Vanic</t>
  </si>
  <si>
    <t>1oar8gdDX5yHWzVstAHDav</t>
  </si>
  <si>
    <t>Eric Clapton</t>
  </si>
  <si>
    <t>0k93MXOj0kSXo84SvSDeUz</t>
  </si>
  <si>
    <t>4CWy5RH0DiSJtOUCcqKjbX</t>
  </si>
  <si>
    <t>OFFAIAH</t>
  </si>
  <si>
    <t>6ox0BtzYRNG5RmuWvHQeGE</t>
  </si>
  <si>
    <t>GAWVI</t>
  </si>
  <si>
    <t>3urRfHZCU0xtFfOlGyHzP8</t>
  </si>
  <si>
    <t>Mr. Pig</t>
  </si>
  <si>
    <t>64L7BSxBzDkZZSWO7YdgPd</t>
  </si>
  <si>
    <t>Ninetoes</t>
  </si>
  <si>
    <t>08pZnDQE6sWdAvTxTJ2dCO</t>
  </si>
  <si>
    <t>Mysto &amp; Pizzi</t>
  </si>
  <si>
    <t>67frY4XkQx4nHlQh0tlul9</t>
  </si>
  <si>
    <t>AchtVier</t>
  </si>
  <si>
    <t>2EjnH55mnsEjYMoZ9Q6rSe</t>
  </si>
  <si>
    <t>Christopher Williams</t>
  </si>
  <si>
    <t>65lIGCfW59BxcEJnnIOCq3</t>
  </si>
  <si>
    <t>Jessie J</t>
  </si>
  <si>
    <t>22CIOfLZB9z8He7WgHYAgH</t>
  </si>
  <si>
    <t>Eddie Money</t>
  </si>
  <si>
    <t>477Vaa5czrnd9xB5lD4FZ2</t>
  </si>
  <si>
    <t>Watch Out Stampede</t>
  </si>
  <si>
    <t>6UGpcXcENaUqQKPc6oqOe4</t>
  </si>
  <si>
    <t>The Magnetic Fields</t>
  </si>
  <si>
    <t>665AK0ovB11McZRwfa852G</t>
  </si>
  <si>
    <t>1CAALs08dWg3BxFMaaS8qK</t>
  </si>
  <si>
    <t>6LACK</t>
  </si>
  <si>
    <t>7aqwdLp0chKuF3kP5fNZTW</t>
  </si>
  <si>
    <t>Paperwhite</t>
  </si>
  <si>
    <t>5QkVPG2Hf3MmAarireF6lh</t>
  </si>
  <si>
    <t>The Chainsmokers</t>
  </si>
  <si>
    <t>1vfK30VNg2jaZGh8ieZwi9</t>
  </si>
  <si>
    <t>Gagan Kokri</t>
  </si>
  <si>
    <t>4GMCZUi6cVQJ5wPWwJ36rW</t>
  </si>
  <si>
    <t>You Me At Six</t>
  </si>
  <si>
    <t>4JvgDvUxtG3qwbzbCgucwq</t>
  </si>
  <si>
    <t>Hogland</t>
  </si>
  <si>
    <t>4JuZQeSRYJfLCqBgBIxxrR</t>
  </si>
  <si>
    <t>Billie Eilish</t>
  </si>
  <si>
    <t>2cYZpcIV39X48RnOFM7w2V</t>
  </si>
  <si>
    <t>Kanye West</t>
  </si>
  <si>
    <t>0RVeadY2MbHz4Pe4MreLNw</t>
  </si>
  <si>
    <t>74JdR9aXE6I74oS1BVRsvb</t>
  </si>
  <si>
    <t>The Five Stairsteps</t>
  </si>
  <si>
    <t>3zCaLPp9kr22wW4yLsTPd3</t>
  </si>
  <si>
    <t>Upchurch</t>
  </si>
  <si>
    <t>1GbEE9qAmGaZ1uO78xPiMC</t>
  </si>
  <si>
    <t>Kenny Man</t>
  </si>
  <si>
    <t>4Ysoro1Osfsz5e0d2hAK33</t>
  </si>
  <si>
    <t>Johnny Hooker</t>
  </si>
  <si>
    <t>7xoUc6faLbCqZO6fQEYprd</t>
  </si>
  <si>
    <t>Ariana Grande</t>
  </si>
  <si>
    <t>5Mmk2ii6laakqfeCT7OnVD</t>
  </si>
  <si>
    <t>Sisqo</t>
  </si>
  <si>
    <t>18gYoEH84N0Bf72F47l1CO</t>
  </si>
  <si>
    <t>Latwer</t>
  </si>
  <si>
    <t>720dTtTyYAD9TKSAd9lwrt</t>
  </si>
  <si>
    <t>Bubba Sparxxx</t>
  </si>
  <si>
    <t>2crgIH6p6JZGjbmDBNJCTZ</t>
  </si>
  <si>
    <t>Kany Garcia</t>
  </si>
  <si>
    <t>2gM3JL6l1INKPh0vf0c8I7</t>
  </si>
  <si>
    <t>Eric Benet</t>
  </si>
  <si>
    <t>62yjOWjA3tb65zgQWdFNx7</t>
  </si>
  <si>
    <t>639L1OUV4JRqnPHaQaziYO</t>
  </si>
  <si>
    <t>Massface</t>
  </si>
  <si>
    <t>3EYOJ48Et32uATr9ZmLnAo</t>
  </si>
  <si>
    <t>The Police</t>
  </si>
  <si>
    <t>0sWUVCkhnqQLKqVZ0oUYKK</t>
  </si>
  <si>
    <t>Zero Theorem</t>
  </si>
  <si>
    <t>0DJBgfyaAlT7T0i0YAuzrS</t>
  </si>
  <si>
    <t>The Mouse Outfit</t>
  </si>
  <si>
    <t>2zRFPRWcIBBlTvvn34sj2o</t>
  </si>
  <si>
    <t>Eastblock Bitches</t>
  </si>
  <si>
    <t>1zUpNXz22EFtljQX3WPDzQ</t>
  </si>
  <si>
    <t>Wu-Tang Clan</t>
  </si>
  <si>
    <t>3UWYmWg9j8KVV08ANBqcLB</t>
  </si>
  <si>
    <t>1wsLHgXJ4SKIfd5ePSX1hD</t>
  </si>
  <si>
    <t>Jonas Blue</t>
  </si>
  <si>
    <t>02LnwwnaanFpM5dZNArPBb</t>
  </si>
  <si>
    <t>Kinto Sol</t>
  </si>
  <si>
    <t>76cy1WJvNGJTj78UqeA5zr</t>
  </si>
  <si>
    <t>Dua Lipa</t>
  </si>
  <si>
    <t>0iQ77tSa7ncj7zBPtVx6cU</t>
  </si>
  <si>
    <t>WALK THE MOON</t>
  </si>
  <si>
    <t>12VuH6dRLKCULFpmT4I0R5</t>
  </si>
  <si>
    <t>Xinister</t>
  </si>
  <si>
    <t>2J7SwOy4hDMM13bckv87GD</t>
  </si>
  <si>
    <t>5RHG4SQ6iJ1qQJmt3EFJCX</t>
  </si>
  <si>
    <t>Twisted Sister</t>
  </si>
  <si>
    <t>4l7oD6415mxY0uSppVUUjX</t>
  </si>
  <si>
    <t>Mustard</t>
  </si>
  <si>
    <t>4RnXwGmNg54Luun5PWcnzR</t>
  </si>
  <si>
    <t>Alexis y Fido</t>
  </si>
  <si>
    <t>0dqfl4l45vqw2TnNrnbsy0</t>
  </si>
  <si>
    <t>Marc Anthony</t>
  </si>
  <si>
    <t>08s6gVAGNsmTOWDPfjpn6A</t>
  </si>
  <si>
    <t>Perfect Pitch</t>
  </si>
  <si>
    <t>6l8mL6FjB6Y88af2z11Syq</t>
  </si>
  <si>
    <t>heartbreaker</t>
  </si>
  <si>
    <t>0EPNX66SAKHx2wKS9txaof</t>
  </si>
  <si>
    <t>Rain</t>
  </si>
  <si>
    <t>1RPhSs2lDYKjDsELKtPvQd</t>
  </si>
  <si>
    <t>Xzibit</t>
  </si>
  <si>
    <t>1sAeeixUOmFYXr5KyrUHkk</t>
  </si>
  <si>
    <t>Merzo</t>
  </si>
  <si>
    <t>2djdCbLj1pzRmrDNe7PkW2</t>
  </si>
  <si>
    <t>Panic! At The Disco</t>
  </si>
  <si>
    <t>6w6I3AFRv7tQMmUTgAghUB</t>
  </si>
  <si>
    <t>Oingo Boingo</t>
  </si>
  <si>
    <t>32IWnxqoCOeDLas0p3K8Vb</t>
  </si>
  <si>
    <t>Kevin Lavitt</t>
  </si>
  <si>
    <t>3WymtMDNolaLX6V9pZsBQ4</t>
  </si>
  <si>
    <t>Derrick Ryan</t>
  </si>
  <si>
    <t>21GnAFVEy4ed52JKjrg840</t>
  </si>
  <si>
    <t>Michael Shynes</t>
  </si>
  <si>
    <t>6Blzg85YWi5ndKO7hO1LK5</t>
  </si>
  <si>
    <t>Granuja</t>
  </si>
  <si>
    <t>4hq0S6wznq7SHDyMOFXL9i</t>
  </si>
  <si>
    <t>The Rolling Stones</t>
  </si>
  <si>
    <t>7pv8xZYGo3FAZFd2R4OP0F</t>
  </si>
  <si>
    <t>Nick Nolan</t>
  </si>
  <si>
    <t>0FkLMOUTkSTPSAYkIXQ579</t>
  </si>
  <si>
    <t>Gigi D'Agostino</t>
  </si>
  <si>
    <t>0bTjMx79m5NMCsHDTyAwBY</t>
  </si>
  <si>
    <t>Hollywood Undead</t>
  </si>
  <si>
    <t>48bSfSZaq9Aizbu4AWn4st</t>
  </si>
  <si>
    <t>Jack U</t>
  </si>
  <si>
    <t>4Q6uK1SZ5hQhZGvhSGe4sN</t>
  </si>
  <si>
    <t>Ivy Queen</t>
  </si>
  <si>
    <t>4Jp4T5gbCLQzGz545Jb3NY</t>
  </si>
  <si>
    <t>50 Cent</t>
  </si>
  <si>
    <t>2MXnOfWDP2wDO34WFqP5JF</t>
  </si>
  <si>
    <t>Sunny Hawkins</t>
  </si>
  <si>
    <t>7vmiKOPQuGBV3Q2z3He5e9</t>
  </si>
  <si>
    <t>Astrid S</t>
  </si>
  <si>
    <t>4LI2D3GbfBTeFt0ftOLvxc</t>
  </si>
  <si>
    <t>Zwirek</t>
  </si>
  <si>
    <t>75wtugYpepfnAzjVH6twz4</t>
  </si>
  <si>
    <t>Gotay "El Autentiko"</t>
  </si>
  <si>
    <t>47FjToieQbxqNnuiRRQtym</t>
  </si>
  <si>
    <t>Mannie Fresh</t>
  </si>
  <si>
    <t>65baihUWfSYzRLHsu3ckyN</t>
  </si>
  <si>
    <t>SKIY</t>
  </si>
  <si>
    <t>3abKAw6reL2U3vhAe98ZsY</t>
  </si>
  <si>
    <t>Julia Michaels</t>
  </si>
  <si>
    <t>79zGYOcAe2VmJsyQiJX31a</t>
  </si>
  <si>
    <t>Charli XCX</t>
  </si>
  <si>
    <t>6ce17pZwsMcYNab5IaC5MQ</t>
  </si>
  <si>
    <t>Jetta</t>
  </si>
  <si>
    <t>5djZm1zFGcJUSUqbBjrAZH</t>
  </si>
  <si>
    <t>Neha Kakkar</t>
  </si>
  <si>
    <t>12g7rZrJPk2wvi7UFzgeGR</t>
  </si>
  <si>
    <t>Teri Miko</t>
  </si>
  <si>
    <t>29ZSk6XmWPx3DX69xBb7Yi</t>
  </si>
  <si>
    <t>A$AP Rocky</t>
  </si>
  <si>
    <t>7FCfMXYTIiQ9b4hDYs4Iol</t>
  </si>
  <si>
    <t>6kyxQuFD38mo4S3urD2Wkw</t>
  </si>
  <si>
    <t>Muse</t>
  </si>
  <si>
    <t>2VFRnfx3nzHdeSrFhtq9Jj</t>
  </si>
  <si>
    <t>Live</t>
  </si>
  <si>
    <t>6wkllclp0jRam4sJnChjkD</t>
  </si>
  <si>
    <t>Mujo</t>
  </si>
  <si>
    <t>5zXY3oPJXL02WitHCHYX3i</t>
  </si>
  <si>
    <t>Gian Varela</t>
  </si>
  <si>
    <t>6CDIz5IRDVXEzkN0ZxTD0t</t>
  </si>
  <si>
    <t>Niva</t>
  </si>
  <si>
    <t>3Qru36Ylp86E2Q4dWB4OnQ</t>
  </si>
  <si>
    <t>Mura Masa</t>
  </si>
  <si>
    <t>5mC4THighaz8No4EYw59ZC</t>
  </si>
  <si>
    <t>1Kilo</t>
  </si>
  <si>
    <t>5sH7vJ3shCpWGpsHMjwkfN</t>
  </si>
  <si>
    <t>Unaverage Gang</t>
  </si>
  <si>
    <t>7xXdY3jDGRj4szfxDrl6oX</t>
  </si>
  <si>
    <t>Pekeno 77</t>
  </si>
  <si>
    <t>6XoAT50mgAcIDpYXRqWOnV</t>
  </si>
  <si>
    <t>1CtQClLffhYcQKRIAtM0qm</t>
  </si>
  <si>
    <t>Roger Martin</t>
  </si>
  <si>
    <t>7Dm3dV3WPNdTgxoNY7YFnc</t>
  </si>
  <si>
    <t>Fleetwood Mac</t>
  </si>
  <si>
    <t>5TI17jAZKsveeYm36bxqK5</t>
  </si>
  <si>
    <t>Quintino</t>
  </si>
  <si>
    <t>4bSFPMXKYaCoBhzJv276zl</t>
  </si>
  <si>
    <t>Matt Simons</t>
  </si>
  <si>
    <t>1rIKgCH4H52lrvDcz50hS8</t>
  </si>
  <si>
    <t>Zara Larsson</t>
  </si>
  <si>
    <t>6nUIkq1NXj5AUQwdrMwq3s</t>
  </si>
  <si>
    <t>L0uie L0u</t>
  </si>
  <si>
    <t>6wv9tV7JfZwYak3gC7GD1k</t>
  </si>
  <si>
    <t>Florin Gindu</t>
  </si>
  <si>
    <t>3GfOAdcoc3X5GPiiXmpBjK</t>
  </si>
  <si>
    <t>Blur</t>
  </si>
  <si>
    <t>57rOXabUKgkrwHPSqzo4s5</t>
  </si>
  <si>
    <t>Kiiara</t>
  </si>
  <si>
    <t>2B6vczCll7IwkWI5w8WdkN</t>
  </si>
  <si>
    <t>NugLife</t>
  </si>
  <si>
    <t>5G0nSEIT0fGUZY0caM9AnH</t>
  </si>
  <si>
    <t>3QEqBKFS8boYIAELBcHUnj</t>
  </si>
  <si>
    <t>Gui Brazil</t>
  </si>
  <si>
    <t>44AIhFBXRCwSrQD7RQSBoz</t>
  </si>
  <si>
    <t>T-Mass</t>
  </si>
  <si>
    <t>4B4sQFCQsGguRZFeKPzWBW</t>
  </si>
  <si>
    <t>Extreme Music</t>
  </si>
  <si>
    <t>4sfj0sS0eR6sq3qwCCmLNL</t>
  </si>
  <si>
    <t>Closed Doors</t>
  </si>
  <si>
    <t>5IaSQfIK26X2DpqK12j5vG</t>
  </si>
  <si>
    <t>Kelvyn Colt</t>
  </si>
  <si>
    <t>36vO4BKX49Iwqv4UjLEOgw</t>
  </si>
  <si>
    <t>Dilpreet Dhillon</t>
  </si>
  <si>
    <t>4S1GTwPVpkSy7CsJIDKPEz</t>
  </si>
  <si>
    <t>James Arthur</t>
  </si>
  <si>
    <t>6igsoAR6Co9u7Rq3U7mlOD</t>
  </si>
  <si>
    <t>Kool &amp; The Gang</t>
  </si>
  <si>
    <t>4090PyjhaukeGh0c93jh1Y</t>
  </si>
  <si>
    <t>Stealers Wheel</t>
  </si>
  <si>
    <t>2oZ8mwFb167Up0PE8b9Vu0</t>
  </si>
  <si>
    <t>Jake Adkins</t>
  </si>
  <si>
    <t>2NR2i4RnPZNKs85Anpyqel</t>
  </si>
  <si>
    <t>Rich Homie Quan</t>
  </si>
  <si>
    <t>6s9xry4WwV9va0iJXCEJPQ</t>
  </si>
  <si>
    <t>sky pedro</t>
  </si>
  <si>
    <t>0HDTxa1k2In5hGS1GrbE4I</t>
  </si>
  <si>
    <t>Sean C. Johnson</t>
  </si>
  <si>
    <t>2iUQZEBA5Y6gSotp2rB7yS</t>
  </si>
  <si>
    <t>Jules Kyng</t>
  </si>
  <si>
    <t>45fB0PhuWRLYK2teusTMt2</t>
  </si>
  <si>
    <t>Zeamsone</t>
  </si>
  <si>
    <t>64M7vSptOdMCuHwYzKuplj</t>
  </si>
  <si>
    <t>Jody Watley</t>
  </si>
  <si>
    <t>45Zx6DyqGKKmvfxfzRUtKl</t>
  </si>
  <si>
    <t>Mike Williams</t>
  </si>
  <si>
    <t>6oXaa9IjYnhaS0Fl9QzMp9</t>
  </si>
  <si>
    <t>Foxy Brown</t>
  </si>
  <si>
    <t>7b1S5gTtqudbiXfKLuAbEp</t>
  </si>
  <si>
    <t>Wiki</t>
  </si>
  <si>
    <t>5tqDJzxqgbYKBiGlHDvun5</t>
  </si>
  <si>
    <t>Two Friends</t>
  </si>
  <si>
    <t>1yeHVJsVPN3ZskQ398be1E</t>
  </si>
  <si>
    <t>Ghostface Killah</t>
  </si>
  <si>
    <t>5YEOzOojehCqxGQCcQiyR4</t>
  </si>
  <si>
    <t>Desiigner</t>
  </si>
  <si>
    <t>0mstBWuKrc5Yq89IZXDMYn</t>
  </si>
  <si>
    <t>The Electric Swing Circus</t>
  </si>
  <si>
    <t>7qOSeqtiIYb4RgOsTJWkvj</t>
  </si>
  <si>
    <t>Stefanie Bennett</t>
  </si>
  <si>
    <t>0sXvAOmXgjR2QUqLK1MltU</t>
  </si>
  <si>
    <t>Carlos Vives</t>
  </si>
  <si>
    <t>0XCvApofV9SjL7rkJh1BaO</t>
  </si>
  <si>
    <t>Canabision</t>
  </si>
  <si>
    <t>7zL1R4SiaifOwieMmxsG7i</t>
  </si>
  <si>
    <t>4IBzgsoWHLsP8AMlO23iOF</t>
  </si>
  <si>
    <t>1Q4jb2UjtWUDUojHsB8mLY</t>
  </si>
  <si>
    <t>Tiesto</t>
  </si>
  <si>
    <t>6gNTUALYq5cQXVCwXR7snp</t>
  </si>
  <si>
    <t>Comethazine</t>
  </si>
  <si>
    <t>0aGw2PXhdjiZdp94APcIfM</t>
  </si>
  <si>
    <t>SaberZ</t>
  </si>
  <si>
    <t>2PHugyVcwpbzP2S1w3fDTA</t>
  </si>
  <si>
    <t>Buddy</t>
  </si>
  <si>
    <t>4oW2r1KLUckzXrofvgh95E</t>
  </si>
  <si>
    <t>Vick Allen</t>
  </si>
  <si>
    <t>3MkuFR7t25mu7Iscp6GGiV</t>
  </si>
  <si>
    <t>Au/Ra</t>
  </si>
  <si>
    <t>5gyAm7BgB0d0I4RPK1zcn2</t>
  </si>
  <si>
    <t>Sean Finn</t>
  </si>
  <si>
    <t>1QLRsTQdtz5KTXHndX1sLd</t>
  </si>
  <si>
    <t>Hannah Williams</t>
  </si>
  <si>
    <t>2fnhNj2TOQzQBX6OlVvQq6</t>
  </si>
  <si>
    <t>5kUdKwPCyamXAKGgF1WnCk</t>
  </si>
  <si>
    <t>Ozzy Osbourne</t>
  </si>
  <si>
    <t>22bnRpREhpBzy62K4QvdLX</t>
  </si>
  <si>
    <t>Wilson Meadows</t>
  </si>
  <si>
    <t>4mU5iXHeLgbR94siF7p1sY</t>
  </si>
  <si>
    <t>3JlHPSGJykKR0EAESs8Ope</t>
  </si>
  <si>
    <t>2pPYl7Gif7MNAHd706ClhW</t>
  </si>
  <si>
    <t>Bart B More</t>
  </si>
  <si>
    <t>7uIRZRw4xM2IcfCP1sSwnD</t>
  </si>
  <si>
    <t>6g9jxAZz5pFxafWle0uxY8</t>
  </si>
  <si>
    <t>7E7GcJmN5pQTYBitvxkNVX</t>
  </si>
  <si>
    <t>1nNSbg1oXFH5AxyI1WRxkF</t>
  </si>
  <si>
    <t>Tru Comers</t>
  </si>
  <si>
    <t>3Kmcm8m9i6Be5LuWYgt47G</t>
  </si>
  <si>
    <t>5ypiGNhYY1GUoVB1kVZmc8</t>
  </si>
  <si>
    <t>Tim Berg</t>
  </si>
  <si>
    <t>7a96fFFOb0rktcJJ1jG8AN</t>
  </si>
  <si>
    <t>ANG</t>
  </si>
  <si>
    <t>6HxK2OuQDs24vjNCRzE6pT</t>
  </si>
  <si>
    <t>Banoffee</t>
  </si>
  <si>
    <t>0oipDSP2WW7wf5NeEjVxgK</t>
  </si>
  <si>
    <t>Goodie Mob</t>
  </si>
  <si>
    <t>3A1etA4fcClRWiPCRhbY9l</t>
  </si>
  <si>
    <t>Alive City</t>
  </si>
  <si>
    <t>0ycpLQhbAdpRXKBhrXEYm0</t>
  </si>
  <si>
    <t>Deorro</t>
  </si>
  <si>
    <t>1pCOmSyhfCTFm6vdoeD4JD</t>
  </si>
  <si>
    <t>Ready For The World</t>
  </si>
  <si>
    <t>0dBisL8wLIL89gyzOpHyYV</t>
  </si>
  <si>
    <t>Bounce Inc.</t>
  </si>
  <si>
    <t>6mZI2vbLv1UvlclwDQ4uvc</t>
  </si>
  <si>
    <t>Angie Stone</t>
  </si>
  <si>
    <t>3Yq6KrF4TLfFxJgVqkD8zm</t>
  </si>
  <si>
    <t>Mary Mary</t>
  </si>
  <si>
    <t>37KiqJuaMXQWWra2KKcrfX</t>
  </si>
  <si>
    <t>Veronica Maggio</t>
  </si>
  <si>
    <t>74uC8K6i7AL7mC7ohKCS7d</t>
  </si>
  <si>
    <t>Biig Piig</t>
  </si>
  <si>
    <t>4UTdS9XCIesvyWqof7PBKd</t>
  </si>
  <si>
    <t>MC Cabelinho</t>
  </si>
  <si>
    <t>1H85F0Iv9LNEJBgVZDVFYH</t>
  </si>
  <si>
    <t>Goldfrapp</t>
  </si>
  <si>
    <t>0psbBdxOb3A8WMuG3ludUw</t>
  </si>
  <si>
    <t>Jay Rock</t>
  </si>
  <si>
    <t>2H8LPaY3NSjmOFMH2Rygnz</t>
  </si>
  <si>
    <t>Matoma</t>
  </si>
  <si>
    <t>0xWRZHmgpe4iGNnxV96xZj</t>
  </si>
  <si>
    <t>Imagination</t>
  </si>
  <si>
    <t>18mmN3VrFWRi6SsSBJf6WJ</t>
  </si>
  <si>
    <t>Pablo Alboran</t>
  </si>
  <si>
    <t>0Hk9AgUFU3ujjlD5Fxvk77</t>
  </si>
  <si>
    <t>Donny Caballero</t>
  </si>
  <si>
    <t>29C3wkt3HoxHtEalb0mUWP</t>
  </si>
  <si>
    <t>NDR8</t>
  </si>
  <si>
    <t>4H3vuLX59XPqdtTpIesGyS</t>
  </si>
  <si>
    <t>David Lee Roth</t>
  </si>
  <si>
    <t>3J06oZ2TNJUGuBF7q8YaDV</t>
  </si>
  <si>
    <t>Chris Goldarg</t>
  </si>
  <si>
    <t>2GnVUTHqvJp9GmttayGUqM</t>
  </si>
  <si>
    <t>7Dcxeks6WbS6jAtz1kYtKQ</t>
  </si>
  <si>
    <t>VIVID</t>
  </si>
  <si>
    <t>5OPgPWsCaeZDvHudPzVftQ</t>
  </si>
  <si>
    <t>Heavy D &amp; The Boyz</t>
  </si>
  <si>
    <t>1b7W82wt7cFgOQQ5XVKKoN</t>
  </si>
  <si>
    <t>Puddle Of Mudd</t>
  </si>
  <si>
    <t>34D6mvDTAPypm92EPs8Rxa</t>
  </si>
  <si>
    <t>Little River Band</t>
  </si>
  <si>
    <t>6MMLr5UnPXkZp5kJHBDPxO</t>
  </si>
  <si>
    <t>Napkey</t>
  </si>
  <si>
    <t>1Ldg5ulnUpRGUJQ3rdDN9D</t>
  </si>
  <si>
    <t>Larry Smith</t>
  </si>
  <si>
    <t>37Gq1KAg6bV3KAp32xOoFL</t>
  </si>
  <si>
    <t>Kozypop</t>
  </si>
  <si>
    <t>2PnFla1dCxZuMOUvVdW6Pz</t>
  </si>
  <si>
    <t>Besomorph</t>
  </si>
  <si>
    <t>7tmfrvAm84ntXtwbn1ybgt</t>
  </si>
  <si>
    <t>Deca</t>
  </si>
  <si>
    <t>7258lBUFSE45SJmxoJmfYk</t>
  </si>
  <si>
    <t>Alan Walker</t>
  </si>
  <si>
    <t>3DjInVTE03icrWsq2UZV9n</t>
  </si>
  <si>
    <t>TINI</t>
  </si>
  <si>
    <t>22EbQdsUKInydpq3A20H7Z</t>
  </si>
  <si>
    <t>Great Good Fine Ok</t>
  </si>
  <si>
    <t>5vJxGkAeihig5jOV5SG0uu</t>
  </si>
  <si>
    <t>Sixx:A.M.</t>
  </si>
  <si>
    <t>6xYHezItSIXOpxMvrVRJTb</t>
  </si>
  <si>
    <t>0AKxkfd5NLlWMXCVgH6a6X</t>
  </si>
  <si>
    <t>PULLER</t>
  </si>
  <si>
    <t>7mBJbhptDV7z8KhPvsAoIN</t>
  </si>
  <si>
    <t>Alex Kennon</t>
  </si>
  <si>
    <t>2r77vqSZkOktTSgmAOoHsV</t>
  </si>
  <si>
    <t>Paulo Londra</t>
  </si>
  <si>
    <t>5h3qsjZOEC2QmiXs1utJSu</t>
  </si>
  <si>
    <t>Dulce Lopez</t>
  </si>
  <si>
    <t>0Zh5U48tZNeAzzLTV1CVBE</t>
  </si>
  <si>
    <t>1pYNSCvnguhc0VMPxWqEwV</t>
  </si>
  <si>
    <t>Sotomayor</t>
  </si>
  <si>
    <t>5EA06TsQmqmQXZiEhr1AaM</t>
  </si>
  <si>
    <t>Leon Bridges</t>
  </si>
  <si>
    <t>0egGmGkZ8maYdEYo4RrVsZ</t>
  </si>
  <si>
    <t>Lil Dicky</t>
  </si>
  <si>
    <t>2DRk66DsTtDrUsCEOmvQaq</t>
  </si>
  <si>
    <t>Capital Kings</t>
  </si>
  <si>
    <t>4pRgU9tlDnPVQV27xOOryV</t>
  </si>
  <si>
    <t>Nora Van Elken</t>
  </si>
  <si>
    <t>7kZZ2Hmkg1zfwrQLsmypNE</t>
  </si>
  <si>
    <t>Daryl Hall</t>
  </si>
  <si>
    <t>3utdq3dPLVD4r7Vv9BnCAI</t>
  </si>
  <si>
    <t>5rxKInBVj0QE87KenyDiLf</t>
  </si>
  <si>
    <t>Steve Aoki</t>
  </si>
  <si>
    <t>6aLt4PslIzYEoNx5opdeWR</t>
  </si>
  <si>
    <t>Winne</t>
  </si>
  <si>
    <t>1N9fmqCVlPbJAVWStT00VE</t>
  </si>
  <si>
    <t>Dave Mak</t>
  </si>
  <si>
    <t>1Jp8otFaU2Bttfvn93dzWk</t>
  </si>
  <si>
    <t>Werner Mill</t>
  </si>
  <si>
    <t>6UQDIIEPzeduwXlZE86SOF</t>
  </si>
  <si>
    <t>Janelle Monae</t>
  </si>
  <si>
    <t>5NwWGVjLvbxJZrJLhcRqm1</t>
  </si>
  <si>
    <t>0T0AY7kzqXBiMuHvI7I3j4</t>
  </si>
  <si>
    <t>Karma</t>
  </si>
  <si>
    <t>1FY81Z8My4fvyfwVlLcZ9a</t>
  </si>
  <si>
    <t>Nicolas Nerva</t>
  </si>
  <si>
    <t>4mxfwvkiOj1U30Pkt0R2JH</t>
  </si>
  <si>
    <t>Ragunde</t>
  </si>
  <si>
    <t>17aDyX39gb1iV1ZWvD1ffE</t>
  </si>
  <si>
    <t>Sir Sly</t>
  </si>
  <si>
    <t>2BDRHFw5170t2kRHD3uEMU</t>
  </si>
  <si>
    <t>Jade</t>
  </si>
  <si>
    <t>44ljhbOzdApfYkdrgKMXUs</t>
  </si>
  <si>
    <t>Mako</t>
  </si>
  <si>
    <t>65Bynqyt59f3fojjs1Uo41</t>
  </si>
  <si>
    <t>ayokay</t>
  </si>
  <si>
    <t>0uUNN1nSoUx1A4fkDCWDQ7</t>
  </si>
  <si>
    <t>Ava Max</t>
  </si>
  <si>
    <t>2wWboDFZJPWXVNlHUbdSVQ</t>
  </si>
  <si>
    <t>Tori Kelly</t>
  </si>
  <si>
    <t>0sxEHZ8WEPPTWGFXYBdB3O</t>
  </si>
  <si>
    <t>Amel Larrieux</t>
  </si>
  <si>
    <t>2qWDv8zJ4xRQWMT6BSjCNk</t>
  </si>
  <si>
    <t>Gyedu-Blay Ambolley</t>
  </si>
  <si>
    <t>1Q892IxtZRwQ475cZMseCE</t>
  </si>
  <si>
    <t>Bolier</t>
  </si>
  <si>
    <t>2GblQ918RbkOs4Yo1Rpkcj</t>
  </si>
  <si>
    <t>Adele</t>
  </si>
  <si>
    <t>2M71Inc9camxaIGtmQ6I87</t>
  </si>
  <si>
    <t>Big Gigantic</t>
  </si>
  <si>
    <t>6pa4eJcF1Nb40Erov5Cb2I</t>
  </si>
  <si>
    <t>Phos Toni</t>
  </si>
  <si>
    <t>71GAvRsilpo9pqd0vYn8Mo</t>
  </si>
  <si>
    <t>CNCO</t>
  </si>
  <si>
    <t>6mxWy8x0JarYKbQpgZ85Mr</t>
  </si>
  <si>
    <t>Laura Tain</t>
  </si>
  <si>
    <t>3lMZAnQgm5Sjr6KDR0uZNw</t>
  </si>
  <si>
    <t>Funky</t>
  </si>
  <si>
    <t>0mTKJnVf6GcujyDr1PZn0Q</t>
  </si>
  <si>
    <t>Tory Lanez</t>
  </si>
  <si>
    <t>5WpNa4vUaruzh0KISY4NkN</t>
  </si>
  <si>
    <t>1Pvp3lLLxoc0qKBDUjHvvn</t>
  </si>
  <si>
    <t>LEISURE</t>
  </si>
  <si>
    <t>5Wx9xfNURyR3OaMNNlEk8j</t>
  </si>
  <si>
    <t>47y8A39AK1ztBnUbhcBWIb</t>
  </si>
  <si>
    <t>Y.V.E. 48</t>
  </si>
  <si>
    <t>3Jg5nON0NCou25hp6zW6sw</t>
  </si>
  <si>
    <t>Maikel Delacalle</t>
  </si>
  <si>
    <t>3timLnS1O72NzeRj22KrFd</t>
  </si>
  <si>
    <t>1mnqraQ8oV8MX92rdOFLWW</t>
  </si>
  <si>
    <t>Amerie</t>
  </si>
  <si>
    <t>7hKnJYr6Pi237IknfXRn5K</t>
  </si>
  <si>
    <t>Luh Kel</t>
  </si>
  <si>
    <t>7y8aVfDkqt6qirGNivvs0M</t>
  </si>
  <si>
    <t>!!!</t>
  </si>
  <si>
    <t>2rXZir7PFYmCw93pK3iVaW</t>
  </si>
  <si>
    <t>4UsvFkPMlcAqNqu8BbVgaa</t>
  </si>
  <si>
    <t>Fly</t>
  </si>
  <si>
    <t>43AOxjjpyDvPE6JGWDv0Eh</t>
  </si>
  <si>
    <t>Della Humphrey</t>
  </si>
  <si>
    <t>4FvTKZ0ZTuHcj9QZfWKlC9</t>
  </si>
  <si>
    <t>FG</t>
  </si>
  <si>
    <t>6zw6EBrOdGTbKzC0djTOlD</t>
  </si>
  <si>
    <t>Anuel AA</t>
  </si>
  <si>
    <t>7jxHeJLVpnP7S08JFF4GBi</t>
  </si>
  <si>
    <t>Shakira</t>
  </si>
  <si>
    <t>0hcW7qPqWWJc8189OaqQvX</t>
  </si>
  <si>
    <t>Jesse Powell</t>
  </si>
  <si>
    <t>1wKXq2v6jbWPM2hH2uj0bx</t>
  </si>
  <si>
    <t>C-Murder</t>
  </si>
  <si>
    <t>5Q7h7R1D9q7gkB1FimDsCE</t>
  </si>
  <si>
    <t>Clean Bandit</t>
  </si>
  <si>
    <t>1dFkD1JfRMzwO6hwUsE8aS</t>
  </si>
  <si>
    <t>4y8XhpQ7YqFLyz2o7c7r7X</t>
  </si>
  <si>
    <t>Royksopp</t>
  </si>
  <si>
    <t>0Mw4XuHVUyFuf3qRJ3AU1h</t>
  </si>
  <si>
    <t>FEVER 333</t>
  </si>
  <si>
    <t>6oE2dMTxyo0lwqdfzRFPQw</t>
  </si>
  <si>
    <t>Tess Posner</t>
  </si>
  <si>
    <t>2hZfSXDhitRcQcFtfRDF8g</t>
  </si>
  <si>
    <t>M-3ox</t>
  </si>
  <si>
    <t>20Q0qLW27rm9Pq2pO1bwzK</t>
  </si>
  <si>
    <t>60EKSZLqpbybeB1D3ocwXr</t>
  </si>
  <si>
    <t>Control Machete</t>
  </si>
  <si>
    <t>2fxJDRmUMatqyZ6ZOQi7RD</t>
  </si>
  <si>
    <t>Khea</t>
  </si>
  <si>
    <t>7IlYDWKUtjuQ1xPf6KAzWc</t>
  </si>
  <si>
    <t>Benny Jamz</t>
  </si>
  <si>
    <t>5uMrI6S3YpzJ6xjS6h8oVX</t>
  </si>
  <si>
    <t>MC Igu</t>
  </si>
  <si>
    <t>3kE4g5dHVUeLdzPukt1VTF</t>
  </si>
  <si>
    <t>Apache</t>
  </si>
  <si>
    <t>4XO6ex8P26F5BZO5iYcpk0</t>
  </si>
  <si>
    <t>Amrit Maan</t>
  </si>
  <si>
    <t>23DZLSxCK6kM8FF2RlzKDl</t>
  </si>
  <si>
    <t>Linda Ronstadt</t>
  </si>
  <si>
    <t>1Qbca84SoalSDtwF73xbxG</t>
  </si>
  <si>
    <t>DJ Screw &amp; The Screwed Up Click</t>
  </si>
  <si>
    <t>7GdMttMgpx9jt3H4tm8vFF</t>
  </si>
  <si>
    <t>5SHhPFh68OhUmuRPymKX9d</t>
  </si>
  <si>
    <t>FLETCHER</t>
  </si>
  <si>
    <t>3irumzUB7UlJqoVZCqR3kI</t>
  </si>
  <si>
    <t>Amy Winehouse</t>
  </si>
  <si>
    <t>0cDumxvNKhydP1Cmon2S6E</t>
  </si>
  <si>
    <t>Dvicio</t>
  </si>
  <si>
    <t>0M955bMOoilikPXwKLYpoi</t>
  </si>
  <si>
    <t>Three Days Grace</t>
  </si>
  <si>
    <t>6vaSStNN5NX4nJ4QbRY3S0</t>
  </si>
  <si>
    <t>Black Pumas</t>
  </si>
  <si>
    <t>2T5YxViSy8Znu6vsE1j0Fm</t>
  </si>
  <si>
    <t>Aaron Cartier</t>
  </si>
  <si>
    <t>454h9zAIuTe1eJyw9iTnj4</t>
  </si>
  <si>
    <t>5GNT8tXCqPop8K4t3hvVaH</t>
  </si>
  <si>
    <t>7D04SIiYAZq6Kpc4qFhBKY</t>
  </si>
  <si>
    <t>Kings of Leon</t>
  </si>
  <si>
    <t>5UWwZ5lm5PKu6eKsHAGxOk</t>
  </si>
  <si>
    <t>Foo Fighters</t>
  </si>
  <si>
    <t>2eFxaSHpZcJiwKlUpHqtLp</t>
  </si>
  <si>
    <t>Broiler</t>
  </si>
  <si>
    <t>6MPpnJDLk37GEIM0iGGITd</t>
  </si>
  <si>
    <t>Ella Fitzgerald</t>
  </si>
  <si>
    <t>6JvfBzqZmSiEG5MjM7OcSY</t>
  </si>
  <si>
    <t>3JLSv9wA8Y7e27yDVDWj3t</t>
  </si>
  <si>
    <t>Diskord</t>
  </si>
  <si>
    <t>0GK06YlGqg7NcytdQXZiQQ</t>
  </si>
  <si>
    <t>Gordo Sarkasmus</t>
  </si>
  <si>
    <t>5PCe0RKfhq7wB7vyQOIg9w</t>
  </si>
  <si>
    <t>6Nle9hKrkL1wQpwNfEkxjh</t>
  </si>
  <si>
    <t>3nW5v0Htr1ySk8czTJIA2V</t>
  </si>
  <si>
    <t>3HgTImJQaKLT4jCOsWjrJB</t>
  </si>
  <si>
    <t>Young Cister</t>
  </si>
  <si>
    <t>6z1VtU0MCGo666iKiajfhp</t>
  </si>
  <si>
    <t>Bomba Estereo</t>
  </si>
  <si>
    <t>4ut5G4rgB1ClpMTMfjoIuy</t>
  </si>
  <si>
    <t>056uvAVDFOa7kv9idKPpf0</t>
  </si>
  <si>
    <t>1xH3C10MTwvwRVf6jlgdH2</t>
  </si>
  <si>
    <t>Aphex Twin</t>
  </si>
  <si>
    <t>5uRsBdLhn91AYcsTCOGNOC</t>
  </si>
  <si>
    <t>Corey Hart</t>
  </si>
  <si>
    <t>2GCl4gCETmd0BbqGjC2bjR</t>
  </si>
  <si>
    <t>Krazyp</t>
  </si>
  <si>
    <t>7CPiFuM7R0Os87sl3UJqPB</t>
  </si>
  <si>
    <t>Editors</t>
  </si>
  <si>
    <t>6jt9ksqmpgggBsIj5pVZNd</t>
  </si>
  <si>
    <t>Dye O</t>
  </si>
  <si>
    <t>4QQh68kaayJYrYyovGrkHy</t>
  </si>
  <si>
    <t>Godfather of Harlem</t>
  </si>
  <si>
    <t>2cZrrQMjB63c0iIugYH9zS</t>
  </si>
  <si>
    <t>1PeolWTkf6eq3K3qMXTkkN</t>
  </si>
  <si>
    <t>Darkiel</t>
  </si>
  <si>
    <t>0DW5anNzTO7h0OlKqFsVQ6</t>
  </si>
  <si>
    <t>David Banner</t>
  </si>
  <si>
    <t>6qNALlmZa1ESnCxJmXE1K9</t>
  </si>
  <si>
    <t>22Nq8jG98vSGghSyBsIjMO</t>
  </si>
  <si>
    <t>Newcleus</t>
  </si>
  <si>
    <t>5jAeM4WKpqDX9wDJGa7IFq</t>
  </si>
  <si>
    <t>Dylan Brady</t>
  </si>
  <si>
    <t>16ko8IV4T1jta7o77evpKO</t>
  </si>
  <si>
    <t>Bell Biv DeVoe</t>
  </si>
  <si>
    <t>0k1hbeZodoEw34FAdbh8xM</t>
  </si>
  <si>
    <t>El Gran Combo De Puerto Rico</t>
  </si>
  <si>
    <t>3glRVTeqKmtGqmblN77lw0</t>
  </si>
  <si>
    <t>Sfven</t>
  </si>
  <si>
    <t>1NHmcD7dVRn3RAB98wcgIa</t>
  </si>
  <si>
    <t>L. Starz</t>
  </si>
  <si>
    <t>2jlNiAhus7JJIiAI5Pgsky</t>
  </si>
  <si>
    <t>Lee "Shot" Williams</t>
  </si>
  <si>
    <t>5s6JRth3XYtu6d23IqFRle</t>
  </si>
  <si>
    <t>andrei</t>
  </si>
  <si>
    <t>385Urz8Qa8CIcK9tl3SA8g</t>
  </si>
  <si>
    <t>2VdmtbDiJ8K335JH45rEyp</t>
  </si>
  <si>
    <t>Wake Me</t>
  </si>
  <si>
    <t>6c2nLvohQqC63ntHzvWtqL</t>
  </si>
  <si>
    <t>59iNA6gwthoTJ6IgpBGGHW</t>
  </si>
  <si>
    <t>66PRDvzBHhbcdbc4T4mrZY</t>
  </si>
  <si>
    <t>PXNDX</t>
  </si>
  <si>
    <t>442ctQ3OBBk8aMo3Ma3wRX</t>
  </si>
  <si>
    <t>Bizzey</t>
  </si>
  <si>
    <t>0XOFJ634crTl8z9N5Gxh2S</t>
  </si>
  <si>
    <t>STVCKS</t>
  </si>
  <si>
    <t>0qxYx4F3vm1AOnfux6dDxP</t>
  </si>
  <si>
    <t>Paul Simon</t>
  </si>
  <si>
    <t>7ujx3NYtwO2LkmKGz59mXp</t>
  </si>
  <si>
    <t>Kendrick Lamar</t>
  </si>
  <si>
    <t>5BIMPccDwShpXq784RJlJp</t>
  </si>
  <si>
    <t>1iqbvOlfRIkVsk6L54ufGu</t>
  </si>
  <si>
    <t>Mr. Vegas</t>
  </si>
  <si>
    <t>7wlaVywCcTcSu4ERPIvWiB</t>
  </si>
  <si>
    <t>Chris Lake</t>
  </si>
  <si>
    <t>4Ghq7XXreyLUJmmRBGlbbw</t>
  </si>
  <si>
    <t>Plastilina Mosh</t>
  </si>
  <si>
    <t>1WQywsPBSyvw4QC4ZvmSbj</t>
  </si>
  <si>
    <t>The Him</t>
  </si>
  <si>
    <t>1m9yGw9LwTHc7s3i7ARXRn</t>
  </si>
  <si>
    <t>2ea8kp4WKy1GdqHoYaz9Nu</t>
  </si>
  <si>
    <t>Simon Field</t>
  </si>
  <si>
    <t>7Llqq3e3Hf4ICVJNBi2muE</t>
  </si>
  <si>
    <t>Habstrakt</t>
  </si>
  <si>
    <t>5gC2aJwuSzGe3IJVlk9r2O</t>
  </si>
  <si>
    <t>Midland</t>
  </si>
  <si>
    <t>2up69Rho7swRdP1MHqzX3n</t>
  </si>
  <si>
    <t>1Y373MqadDRtclJNdnUXVc</t>
  </si>
  <si>
    <t>56fiFTRrSiHHH3gBeaTg2P</t>
  </si>
  <si>
    <t>Slipknot</t>
  </si>
  <si>
    <t>7LRJmZ6G5qHQEG2CGeTCji</t>
  </si>
  <si>
    <t>Kranium</t>
  </si>
  <si>
    <t>7jbA3Kti1R49uiexaMKDEE</t>
  </si>
  <si>
    <t>Perquisite</t>
  </si>
  <si>
    <t>4jsPXSR5zZoOHv8uWX0PGG</t>
  </si>
  <si>
    <t>Erykah Badu</t>
  </si>
  <si>
    <t>4xwSha5SLJKvwftqZ2gky2</t>
  </si>
  <si>
    <t>Owin</t>
  </si>
  <si>
    <t>6nXtt4G9RrKVzVZ8Hl1EH1</t>
  </si>
  <si>
    <t>John Christian</t>
  </si>
  <si>
    <t>4OmDYC629aN4NCQvNcds0F</t>
  </si>
  <si>
    <t>LIZOT</t>
  </si>
  <si>
    <t>5wq8wceQvaFlOZovDtfr0j</t>
  </si>
  <si>
    <t>02zyl88XvRAQdwbzLQui8y</t>
  </si>
  <si>
    <t>Septeto Acarey</t>
  </si>
  <si>
    <t>2mCJpbOH8h7vwu2oJYFCjh</t>
  </si>
  <si>
    <t>Mac Gregor</t>
  </si>
  <si>
    <t>4irhLbic5EfTly8TBXFb8Y</t>
  </si>
  <si>
    <t>2sLO22lacNt7fQguWaBKRo</t>
  </si>
  <si>
    <t>Andrew Applepie</t>
  </si>
  <si>
    <t>3HlB3FeLdjTfLW2T1Czaba</t>
  </si>
  <si>
    <t>Luca Testa</t>
  </si>
  <si>
    <t>5bh0ZC4XO0VJuH0NPGkqlH</t>
  </si>
  <si>
    <t>Jeezy</t>
  </si>
  <si>
    <t>02hAUjeZHXJSIIJdX4Esmb</t>
  </si>
  <si>
    <t>Hellberg</t>
  </si>
  <si>
    <t>20VSzRqyzeBZNuOiQEifBj</t>
  </si>
  <si>
    <t>Marvin Sease</t>
  </si>
  <si>
    <t>6G0GTbxO22gTCjO3GeNskH</t>
  </si>
  <si>
    <t>Roger Wilco</t>
  </si>
  <si>
    <t>3X55wToVhDnQ0Tlt2OU9Sz</t>
  </si>
  <si>
    <t>Fallen Roses</t>
  </si>
  <si>
    <t>6UsNqIqCC9WIDdg9Xxxv84</t>
  </si>
  <si>
    <t>Saul</t>
  </si>
  <si>
    <t>3MODES4TNtygekLl146Dxd</t>
  </si>
  <si>
    <t>Led Zeppelin</t>
  </si>
  <si>
    <t>35zavrJ9AAnYNzHWk7pfey</t>
  </si>
  <si>
    <t>Nick Hames</t>
  </si>
  <si>
    <t>5p1ex0pXv6jSPJ6QbumQpD</t>
  </si>
  <si>
    <t>MEDUZA</t>
  </si>
  <si>
    <t>6BrMEbPSSj55nQhkgf6DnE</t>
  </si>
  <si>
    <t>6wbBrsE2H2pupmnfoVSY6w</t>
  </si>
  <si>
    <t>Jeru The Damaja</t>
  </si>
  <si>
    <t>388JfAKCHRw3lw6J2dNJ0T</t>
  </si>
  <si>
    <t>Lianna</t>
  </si>
  <si>
    <t>1k4VwWZ6FFwYgp72Rq2PUK</t>
  </si>
  <si>
    <t>Sofia Carson</t>
  </si>
  <si>
    <t>6K8foTY6IF5sPDKxoWQVVs</t>
  </si>
  <si>
    <t>Kelly Price</t>
  </si>
  <si>
    <t>7yMiX7n9SBvadzox8T5jzT</t>
  </si>
  <si>
    <t>1uqMiLD3uoBepH4sf8OEuF</t>
  </si>
  <si>
    <t>Daz Dillinger</t>
  </si>
  <si>
    <t>7pFRhCj70NUNZG4xMDEQj8</t>
  </si>
  <si>
    <t>Jazzinuf</t>
  </si>
  <si>
    <t>2EtDBM1HREttw143IwZvJ0</t>
  </si>
  <si>
    <t>The Score</t>
  </si>
  <si>
    <t>6euozmIGRL6aVin2ksJEJ2</t>
  </si>
  <si>
    <t>4lhe5Iy0XVRoySNQYMvP1l</t>
  </si>
  <si>
    <t>7azo4rpSUh8nXgtonC6Pkq</t>
  </si>
  <si>
    <t>Michael Jackson</t>
  </si>
  <si>
    <t>3PWKPX3YJAHBL8JozsWTMC</t>
  </si>
  <si>
    <t>Loote</t>
  </si>
  <si>
    <t>4wvKPOCiOlZh6xwwympC8c</t>
  </si>
  <si>
    <t>Bobby "Blue" Bland</t>
  </si>
  <si>
    <t>5zLvo9lek82KN9QKRpJojD</t>
  </si>
  <si>
    <t>Sir Charles Jones</t>
  </si>
  <si>
    <t>51Rzl0NM0JDcGa21IA8hDc</t>
  </si>
  <si>
    <t>Kiyotaka Sugiyama</t>
  </si>
  <si>
    <t>1Pq0jcWJlEYBgteQ1triQq</t>
  </si>
  <si>
    <t>6JkES1jmcqmUOWCJTFXu0D</t>
  </si>
  <si>
    <t>Frank Mccomb</t>
  </si>
  <si>
    <t>2fja4gHzPsIXiK4bMeU0hN</t>
  </si>
  <si>
    <t>The Doobie Brothers</t>
  </si>
  <si>
    <t>1BVTXeq3Hv4K1QamHvrt6A</t>
  </si>
  <si>
    <t>0t6DdFmFQhQYWhmfa5FJer</t>
  </si>
  <si>
    <t>Whitney Houston</t>
  </si>
  <si>
    <t>2z4pcBLQXF2BXKFvd0BuB6</t>
  </si>
  <si>
    <t>0EFEkt29P7Icr7dO4vN6yk</t>
  </si>
  <si>
    <t>75mj5Qjf4kYFqho3Dusaxe</t>
  </si>
  <si>
    <t>Sebastian Mateo</t>
  </si>
  <si>
    <t>7s41ZGjQB5Ur8T0fQlk5uM</t>
  </si>
  <si>
    <t>Cafe Tacvba</t>
  </si>
  <si>
    <t>25sgk305KZfyuqVBQIahim</t>
  </si>
  <si>
    <t>3kZUnG3jVpgwh3TQFdTv18</t>
  </si>
  <si>
    <t>44yaNjr9eyZsNsg3R9Arzv</t>
  </si>
  <si>
    <t>0UrWr7Jnu1heq1o99ZwUd0</t>
  </si>
  <si>
    <t>P.O.D.</t>
  </si>
  <si>
    <t>2PHYxHUFjHUGmdj8MbVINJ</t>
  </si>
  <si>
    <t>Rush</t>
  </si>
  <si>
    <t>21YIQ4I5xNK3GY7jorq2tO</t>
  </si>
  <si>
    <t>Socialites</t>
  </si>
  <si>
    <t>5vJxmMmw4fJX0hNxH6fVHV</t>
  </si>
  <si>
    <t>Broederliefde</t>
  </si>
  <si>
    <t>7pAC4ebO3MVIMAROkUrEyN</t>
  </si>
  <si>
    <t>Saint Punk</t>
  </si>
  <si>
    <t>4cZ1wv3XMgUNjIn4PtzhWF</t>
  </si>
  <si>
    <t>Static &amp; Ben El</t>
  </si>
  <si>
    <t>6nNrz3FVlnMRYpD4JeX6HR</t>
  </si>
  <si>
    <t>DubVision</t>
  </si>
  <si>
    <t>0sgDEFq9oeC8ueOK0mR5IA</t>
  </si>
  <si>
    <t>Loverboy</t>
  </si>
  <si>
    <t>0eaSdnDwPCoXMwPMwko4Ne</t>
  </si>
  <si>
    <t>Soraya</t>
  </si>
  <si>
    <t>3nOYFAYXCZo3QfIiNNqdrQ</t>
  </si>
  <si>
    <t>39yDIZ5WpcwkFyjpO8SN1d</t>
  </si>
  <si>
    <t>Miami Horror</t>
  </si>
  <si>
    <t>7Feaw9WAEREY0DUOSXJLOM</t>
  </si>
  <si>
    <t>3H7ihDc1dqLriiWXwsc2po</t>
  </si>
  <si>
    <t>Topic</t>
  </si>
  <si>
    <t>6bFsQ6yOp3z5mGNkhWP0P1</t>
  </si>
  <si>
    <t>James Morrison</t>
  </si>
  <si>
    <t>5sKuVseU4s4Mlq3Qz72W4y</t>
  </si>
  <si>
    <t>Dada Life</t>
  </si>
  <si>
    <t>1yebmGMfzmYUt31SmpamGx</t>
  </si>
  <si>
    <t>MOSKA</t>
  </si>
  <si>
    <t>4Ed7NDNt5NmyVKcCKLRjjG</t>
  </si>
  <si>
    <t>Panski</t>
  </si>
  <si>
    <t>6HcQZfMrw3KwGyzrKw1Pjy</t>
  </si>
  <si>
    <t>Mariah Carey</t>
  </si>
  <si>
    <t>5CZMYGXypciCWqiDKG5vgx</t>
  </si>
  <si>
    <t>0QHgoeTQNQmyA1bNoUhZD3</t>
  </si>
  <si>
    <t>Rick Wade</t>
  </si>
  <si>
    <t>63VdY9XtqKvfgwYKHLUFJd</t>
  </si>
  <si>
    <t>Aslove</t>
  </si>
  <si>
    <t>2xhEvRpCNWVHylbbH9Zwnm</t>
  </si>
  <si>
    <t>KAAZE</t>
  </si>
  <si>
    <t>3tcmqEQe8CUmktxtlZPow5</t>
  </si>
  <si>
    <t>The Beef Seeds</t>
  </si>
  <si>
    <t>5PhMoMCYsNRwhelUcNk71s</t>
  </si>
  <si>
    <t>1TWnMN7Cb9HwoI3Ac3DDzo</t>
  </si>
  <si>
    <t>Beamon</t>
  </si>
  <si>
    <t>3BjXk1moo8smcdRE3tvtcO</t>
  </si>
  <si>
    <t>Es-K</t>
  </si>
  <si>
    <t>2IbzYGcve6P1QV94UFxtik</t>
  </si>
  <si>
    <t>Billy Raffoul</t>
  </si>
  <si>
    <t>1ivrsBwgQe5KwjMHu8xje4</t>
  </si>
  <si>
    <t>Mibbs</t>
  </si>
  <si>
    <t>7rAUH8YZRvGyZ5wmoKjYbG</t>
  </si>
  <si>
    <t>VHS Collection</t>
  </si>
  <si>
    <t>4au81WOeFQWUQvHh7WCGz2</t>
  </si>
  <si>
    <t>Zhane</t>
  </si>
  <si>
    <t>00vHOSgvVfyLzhlTZIJo1m</t>
  </si>
  <si>
    <t>DREAMCATCHER</t>
  </si>
  <si>
    <t>3QGGitnEBeHBWA3ykgdMsf</t>
  </si>
  <si>
    <t>Boothed</t>
  </si>
  <si>
    <t>3sRCesHh424gmCji7Fz9Gm</t>
  </si>
  <si>
    <t>Lisa Lisa &amp; Cult Jam</t>
  </si>
  <si>
    <t>6EfPYZWmBWO2KSR5AAPeid</t>
  </si>
  <si>
    <t>Soly</t>
  </si>
  <si>
    <t>3H8n2CHfv2tV1UYsIO0OwG</t>
  </si>
  <si>
    <t>Ufo361</t>
  </si>
  <si>
    <t>5yMQERKmNx6ajo4qHi1KT2</t>
  </si>
  <si>
    <t>4jJEQg6mr3fQsUCYTwhBEZ</t>
  </si>
  <si>
    <t>Two Door Cinema Club</t>
  </si>
  <si>
    <t>0GdOqU9mwoO4xLo9bVA5Yb</t>
  </si>
  <si>
    <t>Electro-Light</t>
  </si>
  <si>
    <t>59X2Mc2Kn34UUdCoHCJ0Nd</t>
  </si>
  <si>
    <t>Hedley</t>
  </si>
  <si>
    <t>1MrZOAWrE9VYYlosHFekQg</t>
  </si>
  <si>
    <t>3bleyyGEiQNGsvbbFK8u9f</t>
  </si>
  <si>
    <t>3MnwLa9KRUiv2gNFtWPvib</t>
  </si>
  <si>
    <t>Artifacts</t>
  </si>
  <si>
    <t>708BmbNyEFsWl0PQXWHknO</t>
  </si>
  <si>
    <t>n o r m a l</t>
  </si>
  <si>
    <t>3ViJYmiobUr5ozBHHcpzbF</t>
  </si>
  <si>
    <t>Lost Kings</t>
  </si>
  <si>
    <t>2irJDnniX31d1ja0a13q4p</t>
  </si>
  <si>
    <t>5rsSdv2z7JLhE399TQW6ji</t>
  </si>
  <si>
    <t>Simple Minds</t>
  </si>
  <si>
    <t>67BSKlgTnOM6T3urm8qsWp</t>
  </si>
  <si>
    <t>Blanks</t>
  </si>
  <si>
    <t>6vBhadlx5nakGCwDENfCPw</t>
  </si>
  <si>
    <t>KLIMENT</t>
  </si>
  <si>
    <t>2kLf4myxQME1Nd0voeKZri</t>
  </si>
  <si>
    <t>Mike Perry</t>
  </si>
  <si>
    <t>17WvocrxbKL2t7HyoSpSCK</t>
  </si>
  <si>
    <t>Amanaz</t>
  </si>
  <si>
    <t>3AJwUDP919kvQ9QcozQPxg</t>
  </si>
  <si>
    <t>5Ck2pBM8zZNIjIxeiEiVvy</t>
  </si>
  <si>
    <t>Celeste</t>
  </si>
  <si>
    <t>0sxvPuybHVMwEvCSfbJDM6</t>
  </si>
  <si>
    <t>4sjzqWBQ1gdsi7TGo7brjX</t>
  </si>
  <si>
    <t>02itaCXOdC54J0ISjqqFAp</t>
  </si>
  <si>
    <t>5RupfK0xmLqyniW7PJ0Ltb</t>
  </si>
  <si>
    <t>RIKE</t>
  </si>
  <si>
    <t>41JVdEgTBhLaTc1Vca5pFy</t>
  </si>
  <si>
    <t>Anna Margaret</t>
  </si>
  <si>
    <t>1orVKbp6vqtfAPOmvRofVq</t>
  </si>
  <si>
    <t>Steve Miller Band</t>
  </si>
  <si>
    <t>3ByAeJLS7g7s4oolHdxidF</t>
  </si>
  <si>
    <t>Nino Khayyam</t>
  </si>
  <si>
    <t>6OxmtqWyLcbHIQ6jvrzosc</t>
  </si>
  <si>
    <t>Tego Calderon</t>
  </si>
  <si>
    <t>0vnzk4L0JyMODSqLp3pHwo</t>
  </si>
  <si>
    <t>4cperyKfUBl5qwObuPvDdL</t>
  </si>
  <si>
    <t>6t8JpJtI0PgVRSuMDGWZlH</t>
  </si>
  <si>
    <t>Ginuwine</t>
  </si>
  <si>
    <t>2oENJa1T33GJ0w8dC167G4</t>
  </si>
  <si>
    <t>Sean Kingston</t>
  </si>
  <si>
    <t>6pzWZe7LIcfKzriMIk6opx</t>
  </si>
  <si>
    <t>Rapsody</t>
  </si>
  <si>
    <t>1CMUEczBbSpRPynaBPx4FO</t>
  </si>
  <si>
    <t>Yotuel</t>
  </si>
  <si>
    <t>3nuSxBQUTn7nidezkdcBf4</t>
  </si>
  <si>
    <t>Leyze</t>
  </si>
  <si>
    <t>6VzfdkKU7J6ideJPwVJnAN</t>
  </si>
  <si>
    <t>7623p8KZ24WTeO0NeIb4tV</t>
  </si>
  <si>
    <t>2b6nCD2LqFzcczjGvKIZDc</t>
  </si>
  <si>
    <t>Conya Doss</t>
  </si>
  <si>
    <t>5naYe7rLMZcLfO1DKg48MK</t>
  </si>
  <si>
    <t>Jax Jones</t>
  </si>
  <si>
    <t>68kLzyjFtXoKIv4NZQlZYe</t>
  </si>
  <si>
    <t>st. august</t>
  </si>
  <si>
    <t>0tXq1ob3ysGZN2oK1abtyp</t>
  </si>
  <si>
    <t>Maxwell</t>
  </si>
  <si>
    <t>1O1sgYGqEI6amm67FVsRmF</t>
  </si>
  <si>
    <t>Hilera</t>
  </si>
  <si>
    <t>4vhVDkSx9RSb2k6mWFMYNI</t>
  </si>
  <si>
    <t>5l9cK2RonGp6roJyvbdo2w</t>
  </si>
  <si>
    <t>Fred Hammond</t>
  </si>
  <si>
    <t>2yWyFT6bW1Rd9cjVvYi4v8</t>
  </si>
  <si>
    <t>Groove Armada</t>
  </si>
  <si>
    <t>4fY4pwTfUl15tEwDBTCXBO</t>
  </si>
  <si>
    <t>Sauti Sol</t>
  </si>
  <si>
    <t>3DrpjC4kNA6grBq0xQxo0O</t>
  </si>
  <si>
    <t>Fedde Le Grand</t>
  </si>
  <si>
    <t>0gbedKbKjiLj47RCTM94s5</t>
  </si>
  <si>
    <t>6eeqHHTCZjFiexBCTNZqff</t>
  </si>
  <si>
    <t>Jory Boy</t>
  </si>
  <si>
    <t>4Xt0OKNJtbyqx5GEX2XpVF</t>
  </si>
  <si>
    <t>Spencer Lee</t>
  </si>
  <si>
    <t>2z8V0NF7biKE3oazgX02J9</t>
  </si>
  <si>
    <t>Dust Collectors</t>
  </si>
  <si>
    <t>1YQ7BbJR8HqAolfprvxGKu</t>
  </si>
  <si>
    <t>19u5G7pWq3Nj6lQiP4W4Hp</t>
  </si>
  <si>
    <t>Carl Anderson</t>
  </si>
  <si>
    <t>5WkyhmqrQT8iGq0Y5VMa4a</t>
  </si>
  <si>
    <t>Lil Pump</t>
  </si>
  <si>
    <t>3CIzp3oPhSkSMZjANQPtVV</t>
  </si>
  <si>
    <t>Nick Martin</t>
  </si>
  <si>
    <t>6uUSmhfdiOR7gYeTN430kA</t>
  </si>
  <si>
    <t>Young Ellens</t>
  </si>
  <si>
    <t>4dneV7C1yDt9UtyxrQY375</t>
  </si>
  <si>
    <t>13zjOXnLizxUVYpCuELDN6</t>
  </si>
  <si>
    <t>Micast</t>
  </si>
  <si>
    <t>75HZ6Wxnw8xbgz6HU9kKCS</t>
  </si>
  <si>
    <t>Duncan Sheik</t>
  </si>
  <si>
    <t>3PPJVaa7maBPrYA4OS6gyG</t>
  </si>
  <si>
    <t>David Bowie</t>
  </si>
  <si>
    <t>0EdgK7ASb4kfRkW8pVMN02</t>
  </si>
  <si>
    <t>6vhSIjj1M9HU9OnOi8sdqX</t>
  </si>
  <si>
    <t>Wun Two</t>
  </si>
  <si>
    <t>4tTRm872gHJtA6WaPmMyut</t>
  </si>
  <si>
    <t>Aryue</t>
  </si>
  <si>
    <t>1sYSP7gKa5kdKIfhANfori</t>
  </si>
  <si>
    <t>MAX</t>
  </si>
  <si>
    <t>1almCHdsfikRPfVB9VrEdT</t>
  </si>
  <si>
    <t>Alex &amp; Sierra</t>
  </si>
  <si>
    <t>6gEejYQZRMeMODb5rxwdK8</t>
  </si>
  <si>
    <t>OutKast</t>
  </si>
  <si>
    <t>2Vlk8O848wZuu9CLWnAYSb</t>
  </si>
  <si>
    <t>Chrisette Michele</t>
  </si>
  <si>
    <t>5V2sX7luo5vAsnfp8mBA3m</t>
  </si>
  <si>
    <t>Pop Evil</t>
  </si>
  <si>
    <t>70RqwI4jVXjDGQl5UWDFPE</t>
  </si>
  <si>
    <t>Bigg Rich</t>
  </si>
  <si>
    <t>5ykwvtHx36Z6xGNO1b4lxF</t>
  </si>
  <si>
    <t>Soulja Boy</t>
  </si>
  <si>
    <t>4JWQC6gyYoPRnxRxk0ta2M</t>
  </si>
  <si>
    <t>James Bay</t>
  </si>
  <si>
    <t>1Ao9KNcdyVg81taLY2cM1g</t>
  </si>
  <si>
    <t>Amyntas</t>
  </si>
  <si>
    <t>3g1MMelMBxLjtKwcIVFe0N</t>
  </si>
  <si>
    <t>Skylike</t>
  </si>
  <si>
    <t>5F2lWCeBZMxpo6SG1Q3PlL</t>
  </si>
  <si>
    <t>Kungs</t>
  </si>
  <si>
    <t>2UXEwIOtNGUUgGdXnds8V7</t>
  </si>
  <si>
    <t>Goapele</t>
  </si>
  <si>
    <t>0KMGxYKeUzK9wc5DZCt3HT</t>
  </si>
  <si>
    <t>Chicago</t>
  </si>
  <si>
    <t>51rdCmgHBzg9HJ7eHjVRK9</t>
  </si>
  <si>
    <t>4wQSqT7IwKU60WqXs0qLdO</t>
  </si>
  <si>
    <t>KLOUD</t>
  </si>
  <si>
    <t>1CJbLAkUiPXrttszpQhnO6</t>
  </si>
  <si>
    <t>Culture Beat</t>
  </si>
  <si>
    <t>5RROFztQ7ua0p9ttJ0U8nv</t>
  </si>
  <si>
    <t>Cigarettes After Sex</t>
  </si>
  <si>
    <t>6TwfdLbaxTKzQi3AgsZNzx</t>
  </si>
  <si>
    <t>Maroon 5</t>
  </si>
  <si>
    <t>0EG1aud0wJV0BneTJDifof</t>
  </si>
  <si>
    <t>67UemSl8cVyWC9mFKUEhJj</t>
  </si>
  <si>
    <t>Lo Lo</t>
  </si>
  <si>
    <t>6WIZXts4eygCmeeu7pEsHI</t>
  </si>
  <si>
    <t>Tony Dize</t>
  </si>
  <si>
    <t>6F1kPSgdnlSzZRfskE9vaV</t>
  </si>
  <si>
    <t>5RSpR665UGsu1FFEq1pG8R</t>
  </si>
  <si>
    <t>3dUMuxNadGxCE3qXuhCwqa</t>
  </si>
  <si>
    <t>7CxWLI6FDroqte3DbucNx9</t>
  </si>
  <si>
    <t>Jelly Roll</t>
  </si>
  <si>
    <t>4CaAr4uzoE0NsH6u0v0Ma6</t>
  </si>
  <si>
    <t>Nathassia</t>
  </si>
  <si>
    <t>3xrTr8ALJBHOomX6Dt9Nz4</t>
  </si>
  <si>
    <t>B0nds</t>
  </si>
  <si>
    <t>3ofJQlyeMIigLD3hSJUyME</t>
  </si>
  <si>
    <t>Willie Colon</t>
  </si>
  <si>
    <t>1iQ5E4z6CJ38dIzvMI9Wdo</t>
  </si>
  <si>
    <t>6WmIyn2fx1PKQ0XDpYj4VR</t>
  </si>
  <si>
    <t>The 1975</t>
  </si>
  <si>
    <t>5FzONa0dimxw0VFT1jNg7Z</t>
  </si>
  <si>
    <t>Helhorse</t>
  </si>
  <si>
    <t>15gUb7QKP6PlbXxxTJm2T4</t>
  </si>
  <si>
    <t>Bart &amp; Baker</t>
  </si>
  <si>
    <t>3KekO5WUfJsh7kYU9o2w50</t>
  </si>
  <si>
    <t>Nicky Jam</t>
  </si>
  <si>
    <t>4AjKVyNUMdUveKK5OH1OJD</t>
  </si>
  <si>
    <t>Ace</t>
  </si>
  <si>
    <t>4m0q0xQ2BNl9SCAGKyfiGZ</t>
  </si>
  <si>
    <t>18YRKiIZO4qDEc5Ik0Cry6</t>
  </si>
  <si>
    <t>Marshmello</t>
  </si>
  <si>
    <t>31NDAHPCyqEIPKd3kUV6yA</t>
  </si>
  <si>
    <t>HUGEL</t>
  </si>
  <si>
    <t>39j3ulhZAiudnvNp7dwgYl</t>
  </si>
  <si>
    <t>The Avalanches</t>
  </si>
  <si>
    <t>70Vdd1gx5tn84jkAU31ASv</t>
  </si>
  <si>
    <t>LMFAO</t>
  </si>
  <si>
    <t>0jdeEv8NTDoB2uetW1wXPO</t>
  </si>
  <si>
    <t>Pebbles</t>
  </si>
  <si>
    <t>18fBHoqfGBMsp0CnuNwm6y</t>
  </si>
  <si>
    <t>Leozin</t>
  </si>
  <si>
    <t>127uq83uGFapbddqiMUKky</t>
  </si>
  <si>
    <t>7vAVuNs41gDdzfSiMEtJ41</t>
  </si>
  <si>
    <t>Hotel Apache</t>
  </si>
  <si>
    <t>3Io1rWLImoNqs1r3gO353n</t>
  </si>
  <si>
    <t>3Y4XaiFXlCYBj16qf2fUn3</t>
  </si>
  <si>
    <t>R3SPAWN</t>
  </si>
  <si>
    <t>6Xj7MDchs9I61OnORl7tMw</t>
  </si>
  <si>
    <t>Samantha Machado</t>
  </si>
  <si>
    <t>12UjiJ9QUzkjOeupCndZBd</t>
  </si>
  <si>
    <t>Van Der Graaf Generator</t>
  </si>
  <si>
    <t>0XdC2dBoSx4eWLI1EsZKSx</t>
  </si>
  <si>
    <t>Chuckie</t>
  </si>
  <si>
    <t>55IOt0T1KbTgWpsliVyaWo</t>
  </si>
  <si>
    <t>Ministry</t>
  </si>
  <si>
    <t>5Uf6OfGfz436zAegn1kui6</t>
  </si>
  <si>
    <t>6Q2K4e7Yu09yOqzSZOVmk9</t>
  </si>
  <si>
    <t>Jean Baylor</t>
  </si>
  <si>
    <t>7lVxWMH0C3Bj8b8JLkh9EN</t>
  </si>
  <si>
    <t>John Legend</t>
  </si>
  <si>
    <t>4k7P2LIQco8YCVbIZl1vZB</t>
  </si>
  <si>
    <t>Snow Patrol</t>
  </si>
  <si>
    <t>1Jwc3ODLQxtbnS8M9TflSP</t>
  </si>
  <si>
    <t>The Bangles</t>
  </si>
  <si>
    <t>3obciWcyGwsVNZ76PYge6C</t>
  </si>
  <si>
    <t>Y&amp;T</t>
  </si>
  <si>
    <t>7xZiL9HRMHGsQgqeQ7dPxw</t>
  </si>
  <si>
    <t>Luke Coulson</t>
  </si>
  <si>
    <t>4F6P9kNwtx25mqH1NJqfYY</t>
  </si>
  <si>
    <t>Discopolis</t>
  </si>
  <si>
    <t>30eW6IlBK3wCwcB8TsPXua</t>
  </si>
  <si>
    <t>Lord Finesse</t>
  </si>
  <si>
    <t>0pa5N8ZdLiRziA6n8cGU6p</t>
  </si>
  <si>
    <t>Dreweybear</t>
  </si>
  <si>
    <t>32N3bQcpqADdTGKTHBq5px</t>
  </si>
  <si>
    <t>The Fray</t>
  </si>
  <si>
    <t>0C9w0WJdckpqR7w0yEWo2i</t>
  </si>
  <si>
    <t>Celine Dion</t>
  </si>
  <si>
    <t>2E32QoPYNwwQLpwlSCyIhX</t>
  </si>
  <si>
    <t>2MYtYwqRutASW0oVTYPuEX</t>
  </si>
  <si>
    <t>Hi-Five</t>
  </si>
  <si>
    <t>4wumYSGWMGz0EZazVy9sRd</t>
  </si>
  <si>
    <t>America</t>
  </si>
  <si>
    <t>4BxzNZpcm1j3JczZzGNe2k</t>
  </si>
  <si>
    <t>5sUlaoVcLPk2Wr695jp6dd</t>
  </si>
  <si>
    <t>T-Pain</t>
  </si>
  <si>
    <t>2ZhgA7EM6w5w2PKdKDQRua</t>
  </si>
  <si>
    <t>Living Legends</t>
  </si>
  <si>
    <t>6LdkP7aDWJ6sWL8lb3MDDy</t>
  </si>
  <si>
    <t>FMLYBND</t>
  </si>
  <si>
    <t>3KcsyKN0GyGQYGZJJhIx3L</t>
  </si>
  <si>
    <t>Chamillionaire</t>
  </si>
  <si>
    <t>2bEjR5R9lkfBBOXlCOR45h</t>
  </si>
  <si>
    <t>Dirty Palm</t>
  </si>
  <si>
    <t>48G3g0cNjZZLwRTTcBbc1u</t>
  </si>
  <si>
    <t>Blasterjaxx</t>
  </si>
  <si>
    <t>46EAuZqF6rpOfwcmEj8Z4b</t>
  </si>
  <si>
    <t>Anderson East</t>
  </si>
  <si>
    <t>5VKSZDsidOFHrtlJb33Syo</t>
  </si>
  <si>
    <t>Imagine Dragons</t>
  </si>
  <si>
    <t>3xd80KxnM4MnDcaE8bcreg</t>
  </si>
  <si>
    <t>Danny Brown</t>
  </si>
  <si>
    <t>Row Labels</t>
  </si>
  <si>
    <t>Count of Genre</t>
  </si>
  <si>
    <t>Grand Total</t>
  </si>
  <si>
    <t>Count of Energy</t>
  </si>
  <si>
    <t>Mean</t>
  </si>
  <si>
    <t>Standard Error</t>
  </si>
  <si>
    <t xml:space="preserve">
</t>
  </si>
  <si>
    <t>Median</t>
  </si>
  <si>
    <t>Mode</t>
  </si>
  <si>
    <t>Standard Deviation</t>
  </si>
  <si>
    <t>Sample Variance</t>
  </si>
  <si>
    <t>Kurtosis</t>
  </si>
  <si>
    <t>Skewness</t>
  </si>
  <si>
    <t>Range</t>
  </si>
  <si>
    <t>Minimum</t>
  </si>
  <si>
    <t>Maximum</t>
  </si>
  <si>
    <t>Sum</t>
  </si>
  <si>
    <t>Count</t>
  </si>
  <si>
    <t>Confidence Level(95.0%)</t>
  </si>
  <si>
    <t>Pop</t>
  </si>
  <si>
    <t xml:space="preserve">Latin </t>
  </si>
  <si>
    <t xml:space="preserve">EDM </t>
  </si>
  <si>
    <t>R&amp;B</t>
  </si>
  <si>
    <t>Rap</t>
  </si>
  <si>
    <t>Rock</t>
  </si>
  <si>
    <t>Anova: Single Factor</t>
  </si>
  <si>
    <t>SUMMARY</t>
  </si>
  <si>
    <t>Groups</t>
  </si>
  <si>
    <t>Average</t>
  </si>
  <si>
    <t>Variance</t>
  </si>
  <si>
    <t>ANOVA</t>
  </si>
  <si>
    <t>Source of Variation</t>
  </si>
  <si>
    <t>SS</t>
  </si>
  <si>
    <t>df</t>
  </si>
  <si>
    <t>MS</t>
  </si>
  <si>
    <t>F</t>
  </si>
  <si>
    <t>P-value</t>
  </si>
  <si>
    <t>F crit</t>
  </si>
  <si>
    <t>Between Groups</t>
  </si>
  <si>
    <t>Within Groups</t>
  </si>
  <si>
    <t>Total</t>
  </si>
  <si>
    <t>Latin</t>
  </si>
  <si>
    <t>EDM</t>
  </si>
  <si>
    <t>Regression Statistics</t>
  </si>
  <si>
    <t>Multiple R</t>
  </si>
  <si>
    <t>R Square</t>
  </si>
  <si>
    <t>Adjusted R Square</t>
  </si>
  <si>
    <t>Observations</t>
  </si>
  <si>
    <t>Regression</t>
  </si>
  <si>
    <t>Residual</t>
  </si>
  <si>
    <t>Intercept</t>
  </si>
  <si>
    <t>Significance F</t>
  </si>
  <si>
    <t>Coefficients</t>
  </si>
  <si>
    <t>t Stat</t>
  </si>
  <si>
    <t>Lower 95%</t>
  </si>
  <si>
    <t>Upper 95%</t>
  </si>
  <si>
    <t>Lower 95.0%</t>
  </si>
  <si>
    <t>Upper 95.0%</t>
  </si>
  <si>
    <t>SUMMARY OUTPUT (MODEL 8 = WITHOUT HIGH ENERGY)</t>
  </si>
  <si>
    <t>SUMMARY OUTPUT (MODEL 7 = WITHOUT TEMPO)</t>
  </si>
  <si>
    <t>SUMMARY OUTPUT (MODEL 6 = WITHOUT R&amp;B AND LATIN)</t>
  </si>
  <si>
    <t>SUMMARY OUTPUT (MODEL 5 = WITHOUT ACOUSTICNESS)</t>
  </si>
  <si>
    <t>SUMMARY OUTPUT (MODEL 4 = WITHOUT DANCEABILITY)</t>
  </si>
  <si>
    <t>SUMMARY OUTPUT (MODEL 3 = WITHOUT EDM)</t>
  </si>
  <si>
    <t>SUMMARY OUTPUT (MODEL 2 = WITHOUT RAP)</t>
  </si>
  <si>
    <t>SUMMARY OUTPUT (MODEL 1 = ALL VARIABLES)</t>
  </si>
  <si>
    <t>SUMMARY OUTPUT (MODEL 9 = FINAL MODEL WITHOUT SONG AGE)</t>
  </si>
  <si>
    <t>Genre_latin</t>
  </si>
  <si>
    <t>Genre_pop</t>
  </si>
  <si>
    <t>Genre_r&amp;b</t>
  </si>
  <si>
    <t>Genre_rap</t>
  </si>
  <si>
    <t>Genre_rock</t>
  </si>
  <si>
    <t>Energy_Low</t>
  </si>
  <si>
    <t>C(Genre)</t>
  </si>
  <si>
    <t>C(Energy)</t>
  </si>
  <si>
    <t>Q('Song Age')</t>
  </si>
  <si>
    <t>Low Tempo</t>
  </si>
  <si>
    <t>Age</t>
  </si>
  <si>
    <t>VIF</t>
  </si>
  <si>
    <t>Model_R2</t>
  </si>
  <si>
    <t>const</t>
  </si>
  <si>
    <t>Variable</t>
  </si>
  <si>
    <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</si>
</sst>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1"/>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b/>
      <sz val="12"/>
      <color theme="1"/>
      <name val="Aptos Narrow"/>
      <family val="2"/>
      <scheme val="minor"/>
    </font>
    <font>
      <sz val="12"/>
      <color theme="1"/>
      <name val="Aptos Narrow"/>
      <family val="2"/>
      <scheme val="minor"/>
    </font>
    <font>
      <i/>
      <sz val="12"/>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cellStyleXfs>
  <cellXfs count="42">
    <xf numFmtId="0" fontId="0" fillId="0" borderId="0" xfId="0"/>
    <xf numFmtId="11" fontId="0" fillId="0" borderId="0" xfId="0" applyNumberFormat="1"/>
    <xf numFmtId="1" fontId="0" fillId="0" borderId="0" xfId="0" applyNumberFormat="1"/>
    <xf numFmtId="2" fontId="0" fillId="0" borderId="0" xfId="0" applyNumberFormat="1"/>
    <xf numFmtId="2" fontId="0" fillId="0" borderId="0" xfId="0" quotePrefix="1" applyNumberFormat="1"/>
    <xf numFmtId="0" fontId="20" fillId="0" borderId="0" xfId="0" applyFont="1"/>
    <xf numFmtId="0" fontId="20" fillId="0" borderId="10" xfId="0" applyFont="1" applyBorder="1"/>
    <xf numFmtId="0" fontId="21" fillId="0" borderId="0" xfId="0" applyFont="1"/>
    <xf numFmtId="0" fontId="21" fillId="33" borderId="0" xfId="0" applyFont="1" applyFill="1"/>
    <xf numFmtId="0" fontId="0" fillId="33" borderId="0" xfId="0" applyFill="1"/>
    <xf numFmtId="0" fontId="17" fillId="0" borderId="0" xfId="0" applyFont="1"/>
    <xf numFmtId="0" fontId="0" fillId="0" borderId="11" xfId="0" applyBorder="1"/>
    <xf numFmtId="0" fontId="0" fillId="0" borderId="10" xfId="0" applyBorder="1"/>
    <xf numFmtId="0" fontId="22" fillId="0" borderId="12" xfId="0" applyFont="1" applyBorder="1" applyAlignment="1">
      <alignment horizontal="centerContinuous"/>
    </xf>
    <xf numFmtId="0" fontId="0" fillId="0" borderId="0" xfId="0" applyAlignment="1">
      <alignment wrapText="1"/>
    </xf>
    <xf numFmtId="0" fontId="0" fillId="0" borderId="0" xfId="0" pivotButton="1"/>
    <xf numFmtId="0" fontId="0" fillId="0" borderId="0" xfId="0" applyAlignment="1">
      <alignment horizontal="left"/>
    </xf>
    <xf numFmtId="0" fontId="17" fillId="0" borderId="13" xfId="0" applyFont="1" applyBorder="1"/>
    <xf numFmtId="0" fontId="17" fillId="0" borderId="14" xfId="0" applyFont="1" applyBorder="1"/>
    <xf numFmtId="0" fontId="22" fillId="0" borderId="12" xfId="0" applyFont="1" applyBorder="1" applyAlignment="1">
      <alignment horizontal="center"/>
    </xf>
    <xf numFmtId="0" fontId="22" fillId="0" borderId="0" xfId="0" applyFont="1" applyAlignment="1">
      <alignment horizontal="center"/>
    </xf>
    <xf numFmtId="0" fontId="0" fillId="34" borderId="0" xfId="0" applyFill="1"/>
    <xf numFmtId="0" fontId="0" fillId="0" borderId="0" xfId="0" applyAlignment="1">
      <alignment horizontal="right"/>
    </xf>
    <xf numFmtId="1" fontId="0" fillId="0" borderId="0" xfId="0" applyNumberFormat="1" applyAlignment="1">
      <alignment horizontal="right"/>
    </xf>
    <xf numFmtId="2" fontId="0" fillId="0" borderId="0" xfId="0" applyNumberFormat="1" applyAlignment="1">
      <alignment horizontal="right"/>
    </xf>
    <xf numFmtId="0" fontId="17" fillId="0" borderId="0" xfId="0" applyFont="1" applyAlignment="1">
      <alignment horizontal="right"/>
    </xf>
    <xf numFmtId="0" fontId="17" fillId="35" borderId="0" xfId="0" applyFont="1" applyFill="1" applyAlignment="1">
      <alignment horizontal="right"/>
    </xf>
    <xf numFmtId="0" fontId="0" fillId="35" borderId="0" xfId="0" applyFill="1"/>
    <xf numFmtId="2" fontId="17" fillId="36" borderId="0" xfId="0" applyNumberFormat="1" applyFont="1" applyFill="1" applyAlignment="1">
      <alignment horizontal="right"/>
    </xf>
    <xf numFmtId="0" fontId="17" fillId="36" borderId="0" xfId="0" applyFont="1" applyFill="1" applyAlignment="1">
      <alignment horizontal="right"/>
    </xf>
    <xf numFmtId="0" fontId="1" fillId="0" borderId="0" xfId="42"/>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15" xfId="0" applyBorder="1"/>
    <xf numFmtId="0" fontId="0" fillId="0" borderId="25" xfId="0" applyBorder="1"/>
    <xf numFmtId="0" fontId="0" fillId="0" borderId="16"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FBCC9411-6B4F-488B-BFEC-2B9C8652D3C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[SpotifySongs -Copy.xlsx]Categorical Data!PivotTable1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'Categorical Data'!$B$1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DE-C644-B9ED-30CE639073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DE-C644-B9ED-30CE639073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DE-C644-B9ED-30CE639073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DE-C644-B9ED-30CE639073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CDE-C644-B9ED-30CE639073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CDE-C644-B9ED-30CE639073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'Categorical Data'!$A$2:$A$8</c:f>
              <c:strCache>
                <c:ptCount val="6"/>
                <c:pt idx="0">
                  <c:v>edm</c:v>
                </c:pt>
                <c:pt idx="1">
                  <c:v>latin</c:v>
                </c:pt>
                <c:pt idx="2">
                  <c:v>pop</c:v>
                </c:pt>
                <c:pt idx="3">
                  <c:v>r&amp;b</c:v>
                </c:pt>
                <c:pt idx="4">
                  <c:v>rap</c:v>
                </c:pt>
                <c:pt idx="5">
                  <c:v>rock</c:v>
                </c:pt>
              </c:strCache>
            </c:strRef>
          </c:cat>
          <c:val>
            <c:numRef>
              <c:f>'Categorical Data'!$B$2:$B$8</c:f>
              <c:numCache>
                <c:formatCode>General</c:formatCode>
                <c:ptCount val="6"/>
                <c:pt idx="0">
                  <c:v>29</c:v>
                </c:pt>
                <c:pt idx="1">
                  <c:v>18</c:v>
                </c:pt>
                <c:pt idx="2">
                  <c:v>28</c:v>
                </c:pt>
                <c:pt idx="3">
                  <c:v>21</c:v>
                </c:pt>
                <c:pt idx="4">
                  <c:v>21</c:v>
                </c:pt>
                <c:pt idx="5">
                  <c:v>32</c:v>
                </c:pt>
              </c:numCache>
            </c:numRef>
          </c:val>
          <c:extLst>
            <c:ext xmlns:c16="http://schemas.microsoft.com/office/drawing/2014/chart" uri="{C3380CC4-5D6E-409C-BE32-E72D297353CC}">
              <c16:uniqueId val="{00000000-B737-4B56-AE22-DA77DB7CAA8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[SpotifySongs -Copy.xlsx]Categorical Data!PivotTable10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'Categorical Data'!$B$19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0B-EA4B-8475-D952B9B727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0B-EA4B-8475-D952B9B727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'Categorical Data'!$A$20:$A$22</c:f>
              <c:strCache>
                <c:ptCount val="2"/>
                <c:pt idx="0">
                  <c:v>High</c:v>
                </c:pt>
                <c:pt idx="1">
                  <c:v>Low</c:v>
                </c:pt>
              </c:strCache>
            </c:strRef>
          </c:cat>
          <c:val>
            <c:numRef>
              <c:f>'Categorical Data'!$B$20:$B$22</c:f>
              <c:numCache>
                <c:formatCode>General</c:formatCode>
                <c:ptCount val="2"/>
                <c:pt idx="0">
                  <c:v>122</c:v>
                </c:pt>
                <c:pt idx="1">
                  <c:v>27</c:v>
                </c:pt>
              </c:numCache>
            </c:numRef>
          </c:val>
          <c:extLst>
            <c:ext xmlns:c16="http://schemas.microsoft.com/office/drawing/2014/chart" uri="{C3380CC4-5D6E-409C-BE32-E72D297353CC}">
              <c16:uniqueId val="{00000000-07CA-41DA-82F4-DA29BF63A97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Acousticness vs Song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'Cleansed Data'!$F$1</c:f>
              <c:strCache>
                <c:ptCount val="1"/>
                <c:pt idx="0">
                  <c:v>Acousticness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'Cleansed Data'!$C$2:$C$150</c:f>
              <c:numCache>
                <c:formatCode>0</c:formatCode>
                <c:ptCount val="149"/>
                <c:pt idx="0">
                  <c:v>1</c:v>
                </c:pt>
                <c:pt idx="1">
                  <c:v>9</c:v>
                </c:pt>
                <c:pt idx="2">
                  <c:v>2</c:v>
                </c:pt>
                <c:pt idx="3">
                  <c:v>1</c:v>
                </c:pt>
                <c:pt idx="4">
                  <c:v>1</c:v>
                </c:pt>
                <c:pt idx="5">
                  <c:v>45</c:v>
                </c:pt>
                <c:pt idx="6">
                  <c:v>13</c:v>
                </c:pt>
                <c:pt idx="7">
                  <c:v>3</c:v>
                </c:pt>
                <c:pt idx="8">
                  <c:v>1</c:v>
                </c:pt>
                <c:pt idx="9">
                  <c:v>44</c:v>
                </c:pt>
                <c:pt idx="10">
                  <c:v>16</c:v>
                </c:pt>
                <c:pt idx="11">
                  <c:v>32</c:v>
                </c:pt>
                <c:pt idx="12">
                  <c:v>4</c:v>
                </c:pt>
                <c:pt idx="13">
                  <c:v>5</c:v>
                </c:pt>
                <c:pt idx="14">
                  <c:v>3</c:v>
                </c:pt>
                <c:pt idx="15">
                  <c:v>10</c:v>
                </c:pt>
                <c:pt idx="16">
                  <c:v>15</c:v>
                </c:pt>
                <c:pt idx="17">
                  <c:v>1</c:v>
                </c:pt>
                <c:pt idx="18">
                  <c:v>4</c:v>
                </c:pt>
                <c:pt idx="19">
                  <c:v>0</c:v>
                </c:pt>
                <c:pt idx="20">
                  <c:v>35</c:v>
                </c:pt>
                <c:pt idx="21">
                  <c:v>30</c:v>
                </c:pt>
                <c:pt idx="22">
                  <c:v>1</c:v>
                </c:pt>
                <c:pt idx="23">
                  <c:v>38</c:v>
                </c:pt>
                <c:pt idx="24">
                  <c:v>2</c:v>
                </c:pt>
                <c:pt idx="25">
                  <c:v>1</c:v>
                </c:pt>
                <c:pt idx="26">
                  <c:v>1</c:v>
                </c:pt>
                <c:pt idx="27">
                  <c:v>24</c:v>
                </c:pt>
                <c:pt idx="28">
                  <c:v>1</c:v>
                </c:pt>
                <c:pt idx="29">
                  <c:v>8</c:v>
                </c:pt>
                <c:pt idx="30">
                  <c:v>1</c:v>
                </c:pt>
                <c:pt idx="31">
                  <c:v>1</c:v>
                </c:pt>
                <c:pt idx="32">
                  <c:v>1</c:v>
                </c:pt>
                <c:pt idx="33">
                  <c:v>19</c:v>
                </c:pt>
                <c:pt idx="34">
                  <c:v>1</c:v>
                </c:pt>
                <c:pt idx="35">
                  <c:v>1</c:v>
                </c:pt>
                <c:pt idx="36">
                  <c:v>50</c:v>
                </c:pt>
                <c:pt idx="37">
                  <c:v>6</c:v>
                </c:pt>
                <c:pt idx="38">
                  <c:v>0</c:v>
                </c:pt>
                <c:pt idx="39">
                  <c:v>1</c:v>
                </c:pt>
                <c:pt idx="40">
                  <c:v>16</c:v>
                </c:pt>
                <c:pt idx="41">
                  <c:v>4</c:v>
                </c:pt>
                <c:pt idx="42">
                  <c:v>21</c:v>
                </c:pt>
                <c:pt idx="43">
                  <c:v>3</c:v>
                </c:pt>
                <c:pt idx="44">
                  <c:v>19</c:v>
                </c:pt>
                <c:pt idx="45">
                  <c:v>6</c:v>
                </c:pt>
                <c:pt idx="46">
                  <c:v>0</c:v>
                </c:pt>
                <c:pt idx="47">
                  <c:v>3</c:v>
                </c:pt>
                <c:pt idx="48">
                  <c:v>1</c:v>
                </c:pt>
                <c:pt idx="49">
                  <c:v>1</c:v>
                </c:pt>
                <c:pt idx="50">
                  <c:v>15</c:v>
                </c:pt>
                <c:pt idx="51">
                  <c:v>1</c:v>
                </c:pt>
                <c:pt idx="52">
                  <c:v>4</c:v>
                </c:pt>
                <c:pt idx="53">
                  <c:v>1</c:v>
                </c:pt>
                <c:pt idx="54">
                  <c:v>0</c:v>
                </c:pt>
                <c:pt idx="55">
                  <c:v>2</c:v>
                </c:pt>
                <c:pt idx="56">
                  <c:v>1</c:v>
                </c:pt>
                <c:pt idx="57">
                  <c:v>1</c:v>
                </c:pt>
                <c:pt idx="58">
                  <c:v>3</c:v>
                </c:pt>
                <c:pt idx="59">
                  <c:v>4</c:v>
                </c:pt>
                <c:pt idx="60">
                  <c:v>5</c:v>
                </c:pt>
                <c:pt idx="61">
                  <c:v>2</c:v>
                </c:pt>
                <c:pt idx="62">
                  <c:v>4</c:v>
                </c:pt>
                <c:pt idx="63">
                  <c:v>18</c:v>
                </c:pt>
                <c:pt idx="64">
                  <c:v>32</c:v>
                </c:pt>
                <c:pt idx="65">
                  <c:v>4</c:v>
                </c:pt>
                <c:pt idx="66">
                  <c:v>3</c:v>
                </c:pt>
                <c:pt idx="67">
                  <c:v>30</c:v>
                </c:pt>
                <c:pt idx="68">
                  <c:v>4</c:v>
                </c:pt>
                <c:pt idx="69">
                  <c:v>27</c:v>
                </c:pt>
                <c:pt idx="70">
                  <c:v>1</c:v>
                </c:pt>
                <c:pt idx="71">
                  <c:v>34</c:v>
                </c:pt>
                <c:pt idx="72">
                  <c:v>1</c:v>
                </c:pt>
                <c:pt idx="73">
                  <c:v>4</c:v>
                </c:pt>
                <c:pt idx="74">
                  <c:v>16</c:v>
                </c:pt>
                <c:pt idx="75">
                  <c:v>4</c:v>
                </c:pt>
                <c:pt idx="76">
                  <c:v>48</c:v>
                </c:pt>
                <c:pt idx="77">
                  <c:v>1</c:v>
                </c:pt>
                <c:pt idx="78">
                  <c:v>2</c:v>
                </c:pt>
                <c:pt idx="79">
                  <c:v>6</c:v>
                </c:pt>
                <c:pt idx="80">
                  <c:v>7</c:v>
                </c:pt>
                <c:pt idx="81">
                  <c:v>48</c:v>
                </c:pt>
                <c:pt idx="82">
                  <c:v>1</c:v>
                </c:pt>
                <c:pt idx="83">
                  <c:v>1</c:v>
                </c:pt>
                <c:pt idx="84">
                  <c:v>14</c:v>
                </c:pt>
                <c:pt idx="85">
                  <c:v>3</c:v>
                </c:pt>
                <c:pt idx="86">
                  <c:v>1</c:v>
                </c:pt>
                <c:pt idx="87">
                  <c:v>1</c:v>
                </c:pt>
                <c:pt idx="88">
                  <c:v>15</c:v>
                </c:pt>
                <c:pt idx="89">
                  <c:v>1</c:v>
                </c:pt>
                <c:pt idx="90">
                  <c:v>12</c:v>
                </c:pt>
                <c:pt idx="91">
                  <c:v>3</c:v>
                </c:pt>
                <c:pt idx="92">
                  <c:v>13</c:v>
                </c:pt>
                <c:pt idx="93">
                  <c:v>38</c:v>
                </c:pt>
                <c:pt idx="94">
                  <c:v>8</c:v>
                </c:pt>
                <c:pt idx="95">
                  <c:v>1</c:v>
                </c:pt>
                <c:pt idx="96">
                  <c:v>42</c:v>
                </c:pt>
                <c:pt idx="97">
                  <c:v>33</c:v>
                </c:pt>
                <c:pt idx="98">
                  <c:v>2</c:v>
                </c:pt>
                <c:pt idx="99">
                  <c:v>1</c:v>
                </c:pt>
                <c:pt idx="100">
                  <c:v>5</c:v>
                </c:pt>
                <c:pt idx="101">
                  <c:v>1</c:v>
                </c:pt>
                <c:pt idx="102">
                  <c:v>43</c:v>
                </c:pt>
                <c:pt idx="103">
                  <c:v>2</c:v>
                </c:pt>
                <c:pt idx="104">
                  <c:v>1</c:v>
                </c:pt>
                <c:pt idx="105">
                  <c:v>6</c:v>
                </c:pt>
                <c:pt idx="106">
                  <c:v>33</c:v>
                </c:pt>
                <c:pt idx="107">
                  <c:v>53</c:v>
                </c:pt>
                <c:pt idx="108">
                  <c:v>24</c:v>
                </c:pt>
                <c:pt idx="109">
                  <c:v>5</c:v>
                </c:pt>
                <c:pt idx="110">
                  <c:v>17</c:v>
                </c:pt>
                <c:pt idx="111">
                  <c:v>13</c:v>
                </c:pt>
                <c:pt idx="112">
                  <c:v>40</c:v>
                </c:pt>
                <c:pt idx="113">
                  <c:v>1</c:v>
                </c:pt>
                <c:pt idx="114">
                  <c:v>1</c:v>
                </c:pt>
                <c:pt idx="115">
                  <c:v>6</c:v>
                </c:pt>
                <c:pt idx="116">
                  <c:v>2</c:v>
                </c:pt>
                <c:pt idx="117">
                  <c:v>6</c:v>
                </c:pt>
                <c:pt idx="118">
                  <c:v>16</c:v>
                </c:pt>
                <c:pt idx="119">
                  <c:v>2</c:v>
                </c:pt>
                <c:pt idx="120">
                  <c:v>1</c:v>
                </c:pt>
                <c:pt idx="121">
                  <c:v>18</c:v>
                </c:pt>
                <c:pt idx="122">
                  <c:v>1</c:v>
                </c:pt>
                <c:pt idx="123">
                  <c:v>3</c:v>
                </c:pt>
                <c:pt idx="124">
                  <c:v>17</c:v>
                </c:pt>
                <c:pt idx="125">
                  <c:v>21</c:v>
                </c:pt>
                <c:pt idx="126">
                  <c:v>1</c:v>
                </c:pt>
                <c:pt idx="127">
                  <c:v>3</c:v>
                </c:pt>
                <c:pt idx="128">
                  <c:v>2</c:v>
                </c:pt>
                <c:pt idx="129">
                  <c:v>1</c:v>
                </c:pt>
                <c:pt idx="130">
                  <c:v>10</c:v>
                </c:pt>
                <c:pt idx="131">
                  <c:v>3</c:v>
                </c:pt>
                <c:pt idx="132">
                  <c:v>26</c:v>
                </c:pt>
                <c:pt idx="133">
                  <c:v>6</c:v>
                </c:pt>
                <c:pt idx="134">
                  <c:v>8</c:v>
                </c:pt>
                <c:pt idx="135">
                  <c:v>9</c:v>
                </c:pt>
                <c:pt idx="136">
                  <c:v>7</c:v>
                </c:pt>
                <c:pt idx="137">
                  <c:v>5</c:v>
                </c:pt>
                <c:pt idx="138">
                  <c:v>1</c:v>
                </c:pt>
                <c:pt idx="139">
                  <c:v>19</c:v>
                </c:pt>
                <c:pt idx="140">
                  <c:v>8</c:v>
                </c:pt>
                <c:pt idx="141">
                  <c:v>3</c:v>
                </c:pt>
                <c:pt idx="142">
                  <c:v>15</c:v>
                </c:pt>
                <c:pt idx="143">
                  <c:v>1</c:v>
                </c:pt>
                <c:pt idx="144">
                  <c:v>8</c:v>
                </c:pt>
                <c:pt idx="145">
                  <c:v>13</c:v>
                </c:pt>
                <c:pt idx="146">
                  <c:v>35</c:v>
                </c:pt>
                <c:pt idx="147">
                  <c:v>28</c:v>
                </c:pt>
                <c:pt idx="148">
                  <c:v>13</c:v>
                </c:pt>
              </c:numCache>
            </c:numRef>
          </c:xVal>
          <c:yVal>
            <c:numRef>
              <c:f>'Cleansed Data'!$F$2:$F$150</c:f>
              <c:numCache>
                <c:formatCode>0.00</c:formatCode>
                <c:ptCount val="149"/>
                <c:pt idx="0">
                  <c:v>0.11600000000000001</c:v>
                </c:pt>
                <c:pt idx="1">
                  <c:v>1.8200000000000001E-2</c:v>
                </c:pt>
                <c:pt idx="2">
                  <c:v>0.30599999999999999</c:v>
                </c:pt>
                <c:pt idx="3">
                  <c:v>2.2599999999999999E-2</c:v>
                </c:pt>
                <c:pt idx="4">
                  <c:v>8.1399999999999997E-3</c:v>
                </c:pt>
                <c:pt idx="5">
                  <c:v>4.5999999999999999E-2</c:v>
                </c:pt>
                <c:pt idx="6">
                  <c:v>0.32</c:v>
                </c:pt>
                <c:pt idx="7">
                  <c:v>0.29699999999999999</c:v>
                </c:pt>
                <c:pt idx="8">
                  <c:v>5.21E-2</c:v>
                </c:pt>
                <c:pt idx="9">
                  <c:v>0.153</c:v>
                </c:pt>
                <c:pt idx="10">
                  <c:v>2.3199999999999998E-2</c:v>
                </c:pt>
                <c:pt idx="11">
                  <c:v>1.1199999999999999E-3</c:v>
                </c:pt>
                <c:pt idx="12">
                  <c:v>9.5700000000000004E-3</c:v>
                </c:pt>
                <c:pt idx="13">
                  <c:v>1.0200000000000001E-2</c:v>
                </c:pt>
                <c:pt idx="14">
                  <c:v>0.253</c:v>
                </c:pt>
                <c:pt idx="15">
                  <c:v>4.1599999999999998E-2</c:v>
                </c:pt>
                <c:pt idx="16">
                  <c:v>0.53500000000000003</c:v>
                </c:pt>
                <c:pt idx="17">
                  <c:v>0.19400000000000001</c:v>
                </c:pt>
                <c:pt idx="18">
                  <c:v>0.13200000000000001</c:v>
                </c:pt>
                <c:pt idx="19">
                  <c:v>0.56200000000000006</c:v>
                </c:pt>
                <c:pt idx="20">
                  <c:v>0.60699999999999998</c:v>
                </c:pt>
                <c:pt idx="21">
                  <c:v>2.41E-2</c:v>
                </c:pt>
                <c:pt idx="22">
                  <c:v>1.14E-2</c:v>
                </c:pt>
                <c:pt idx="23">
                  <c:v>4.7500000000000001E-2</c:v>
                </c:pt>
                <c:pt idx="24">
                  <c:v>0.129</c:v>
                </c:pt>
                <c:pt idx="25">
                  <c:v>7.3000000000000001E-3</c:v>
                </c:pt>
                <c:pt idx="26">
                  <c:v>9.3800000000000003E-5</c:v>
                </c:pt>
                <c:pt idx="27">
                  <c:v>0.38300000000000001</c:v>
                </c:pt>
                <c:pt idx="28">
                  <c:v>3.7399999999999998E-3</c:v>
                </c:pt>
                <c:pt idx="29">
                  <c:v>0.20799999999999999</c:v>
                </c:pt>
                <c:pt idx="30">
                  <c:v>8.1899999999999994E-3</c:v>
                </c:pt>
                <c:pt idx="31">
                  <c:v>3.48E-3</c:v>
                </c:pt>
                <c:pt idx="32">
                  <c:v>0.315</c:v>
                </c:pt>
                <c:pt idx="33">
                  <c:v>9.2400000000000002E-4</c:v>
                </c:pt>
                <c:pt idx="34">
                  <c:v>0.32200000000000001</c:v>
                </c:pt>
                <c:pt idx="35">
                  <c:v>0.24299999999999999</c:v>
                </c:pt>
                <c:pt idx="36">
                  <c:v>0.79500000000000004</c:v>
                </c:pt>
                <c:pt idx="37">
                  <c:v>6.6299999999999996E-4</c:v>
                </c:pt>
                <c:pt idx="38">
                  <c:v>0.45100000000000001</c:v>
                </c:pt>
                <c:pt idx="39">
                  <c:v>3.7400000000000003E-2</c:v>
                </c:pt>
                <c:pt idx="40">
                  <c:v>6.2200000000000005E-4</c:v>
                </c:pt>
                <c:pt idx="41">
                  <c:v>3.6200000000000002E-4</c:v>
                </c:pt>
                <c:pt idx="42">
                  <c:v>1.37E-2</c:v>
                </c:pt>
                <c:pt idx="43">
                  <c:v>3.29E-3</c:v>
                </c:pt>
                <c:pt idx="44">
                  <c:v>4.6499999999999999E-5</c:v>
                </c:pt>
                <c:pt idx="45">
                  <c:v>2.1600000000000001E-2</c:v>
                </c:pt>
                <c:pt idx="46">
                  <c:v>2.47E-3</c:v>
                </c:pt>
                <c:pt idx="47">
                  <c:v>1.2800000000000001E-3</c:v>
                </c:pt>
                <c:pt idx="48">
                  <c:v>7.4700000000000003E-2</c:v>
                </c:pt>
                <c:pt idx="49">
                  <c:v>8.2600000000000002E-5</c:v>
                </c:pt>
                <c:pt idx="50">
                  <c:v>0.872</c:v>
                </c:pt>
                <c:pt idx="51">
                  <c:v>0.32400000000000001</c:v>
                </c:pt>
                <c:pt idx="52">
                  <c:v>0.109</c:v>
                </c:pt>
                <c:pt idx="53">
                  <c:v>0.628</c:v>
                </c:pt>
                <c:pt idx="54">
                  <c:v>0.37</c:v>
                </c:pt>
                <c:pt idx="55">
                  <c:v>0.30299999999999999</c:v>
                </c:pt>
                <c:pt idx="56">
                  <c:v>0.28100000000000003</c:v>
                </c:pt>
                <c:pt idx="57">
                  <c:v>0.56699999999999995</c:v>
                </c:pt>
                <c:pt idx="58">
                  <c:v>9.1400000000000006E-3</c:v>
                </c:pt>
                <c:pt idx="59">
                  <c:v>0.185</c:v>
                </c:pt>
                <c:pt idx="60">
                  <c:v>0.437</c:v>
                </c:pt>
                <c:pt idx="61">
                  <c:v>0.37</c:v>
                </c:pt>
                <c:pt idx="62">
                  <c:v>5.67E-2</c:v>
                </c:pt>
                <c:pt idx="63">
                  <c:v>0.29199999999999998</c:v>
                </c:pt>
                <c:pt idx="64">
                  <c:v>1.2600000000000001E-3</c:v>
                </c:pt>
                <c:pt idx="65">
                  <c:v>9.9699999999999997E-3</c:v>
                </c:pt>
                <c:pt idx="66">
                  <c:v>0.23100000000000001</c:v>
                </c:pt>
                <c:pt idx="67">
                  <c:v>6.6E-3</c:v>
                </c:pt>
                <c:pt idx="68">
                  <c:v>0.35699999999999998</c:v>
                </c:pt>
                <c:pt idx="69">
                  <c:v>2.8500000000000001E-2</c:v>
                </c:pt>
                <c:pt idx="70">
                  <c:v>0.105</c:v>
                </c:pt>
                <c:pt idx="71">
                  <c:v>1.9300000000000001E-2</c:v>
                </c:pt>
                <c:pt idx="72">
                  <c:v>0.83899999999999997</c:v>
                </c:pt>
                <c:pt idx="73">
                  <c:v>0.28999999999999998</c:v>
                </c:pt>
                <c:pt idx="74">
                  <c:v>0.252</c:v>
                </c:pt>
                <c:pt idx="75">
                  <c:v>0.10199999999999999</c:v>
                </c:pt>
                <c:pt idx="76">
                  <c:v>0.79500000000000004</c:v>
                </c:pt>
                <c:pt idx="77">
                  <c:v>4.9099999999999998E-2</c:v>
                </c:pt>
                <c:pt idx="78">
                  <c:v>0.39700000000000002</c:v>
                </c:pt>
                <c:pt idx="79">
                  <c:v>2.0899999999999998E-3</c:v>
                </c:pt>
                <c:pt idx="80">
                  <c:v>6.3200000000000006E-2</c:v>
                </c:pt>
                <c:pt idx="81">
                  <c:v>0.442</c:v>
                </c:pt>
                <c:pt idx="82">
                  <c:v>0.66500000000000004</c:v>
                </c:pt>
                <c:pt idx="83">
                  <c:v>7.6999999999999999E-2</c:v>
                </c:pt>
                <c:pt idx="84">
                  <c:v>1.89E-3</c:v>
                </c:pt>
                <c:pt idx="85">
                  <c:v>0.68100000000000005</c:v>
                </c:pt>
                <c:pt idx="86">
                  <c:v>1.4800000000000001E-2</c:v>
                </c:pt>
                <c:pt idx="87">
                  <c:v>1.84E-4</c:v>
                </c:pt>
                <c:pt idx="88">
                  <c:v>0.39800000000000002</c:v>
                </c:pt>
                <c:pt idx="89">
                  <c:v>4.1000000000000002E-2</c:v>
                </c:pt>
                <c:pt idx="90">
                  <c:v>9.3299999999999998E-3</c:v>
                </c:pt>
                <c:pt idx="91">
                  <c:v>9.8799999999999999E-2</c:v>
                </c:pt>
                <c:pt idx="92">
                  <c:v>5.28E-2</c:v>
                </c:pt>
                <c:pt idx="93">
                  <c:v>0.112</c:v>
                </c:pt>
                <c:pt idx="94">
                  <c:v>0.218</c:v>
                </c:pt>
                <c:pt idx="95">
                  <c:v>7.2400000000000006E-2</c:v>
                </c:pt>
                <c:pt idx="96">
                  <c:v>0.115</c:v>
                </c:pt>
                <c:pt idx="97">
                  <c:v>4.41E-2</c:v>
                </c:pt>
                <c:pt idx="98">
                  <c:v>0.18</c:v>
                </c:pt>
                <c:pt idx="99">
                  <c:v>6.5500000000000003E-2</c:v>
                </c:pt>
                <c:pt idx="100">
                  <c:v>6.3200000000000006E-2</c:v>
                </c:pt>
                <c:pt idx="101">
                  <c:v>9.2600000000000001E-5</c:v>
                </c:pt>
                <c:pt idx="102">
                  <c:v>0.16700000000000001</c:v>
                </c:pt>
                <c:pt idx="103">
                  <c:v>0.21099999999999999</c:v>
                </c:pt>
                <c:pt idx="104">
                  <c:v>0.26</c:v>
                </c:pt>
                <c:pt idx="105">
                  <c:v>8.3600000000000005E-4</c:v>
                </c:pt>
                <c:pt idx="106">
                  <c:v>2.5899999999999999E-2</c:v>
                </c:pt>
                <c:pt idx="107">
                  <c:v>8.9700000000000002E-2</c:v>
                </c:pt>
                <c:pt idx="108">
                  <c:v>0.33900000000000002</c:v>
                </c:pt>
                <c:pt idx="109">
                  <c:v>3.6200000000000003E-2</c:v>
                </c:pt>
                <c:pt idx="110">
                  <c:v>2.2800000000000001E-2</c:v>
                </c:pt>
                <c:pt idx="111">
                  <c:v>2.93E-2</c:v>
                </c:pt>
                <c:pt idx="112">
                  <c:v>0.34</c:v>
                </c:pt>
                <c:pt idx="113">
                  <c:v>0.106</c:v>
                </c:pt>
                <c:pt idx="114">
                  <c:v>1.72E-3</c:v>
                </c:pt>
                <c:pt idx="115">
                  <c:v>0.188</c:v>
                </c:pt>
                <c:pt idx="116">
                  <c:v>0.21</c:v>
                </c:pt>
                <c:pt idx="117">
                  <c:v>1.6899999999999999E-4</c:v>
                </c:pt>
                <c:pt idx="118">
                  <c:v>1.34E-2</c:v>
                </c:pt>
                <c:pt idx="119">
                  <c:v>6.6199999999999995E-2</c:v>
                </c:pt>
                <c:pt idx="120">
                  <c:v>1.7100000000000001E-2</c:v>
                </c:pt>
                <c:pt idx="121">
                  <c:v>0.28399999999999997</c:v>
                </c:pt>
                <c:pt idx="122">
                  <c:v>0.35499999999999998</c:v>
                </c:pt>
                <c:pt idx="123">
                  <c:v>1.1599999999999999E-2</c:v>
                </c:pt>
                <c:pt idx="124">
                  <c:v>1.66E-3</c:v>
                </c:pt>
                <c:pt idx="125">
                  <c:v>0.17499999999999999</c:v>
                </c:pt>
                <c:pt idx="126">
                  <c:v>1.2200000000000001E-2</c:v>
                </c:pt>
                <c:pt idx="127">
                  <c:v>2.6100000000000002E-2</c:v>
                </c:pt>
                <c:pt idx="128">
                  <c:v>5.0299999999999997E-3</c:v>
                </c:pt>
                <c:pt idx="129">
                  <c:v>3.7599999999999999E-3</c:v>
                </c:pt>
                <c:pt idx="130">
                  <c:v>3.3400000000000001E-3</c:v>
                </c:pt>
                <c:pt idx="131">
                  <c:v>7.4999999999999997E-2</c:v>
                </c:pt>
                <c:pt idx="132">
                  <c:v>4.28E-3</c:v>
                </c:pt>
                <c:pt idx="133">
                  <c:v>0.16600000000000001</c:v>
                </c:pt>
                <c:pt idx="134">
                  <c:v>8.8800000000000004E-2</c:v>
                </c:pt>
                <c:pt idx="135">
                  <c:v>1.04E-2</c:v>
                </c:pt>
                <c:pt idx="136">
                  <c:v>1.15E-2</c:v>
                </c:pt>
                <c:pt idx="137">
                  <c:v>0.17699999999999999</c:v>
                </c:pt>
                <c:pt idx="138">
                  <c:v>8.5800000000000001E-2</c:v>
                </c:pt>
                <c:pt idx="139">
                  <c:v>4.8300000000000003E-2</c:v>
                </c:pt>
                <c:pt idx="140">
                  <c:v>1.3300000000000001E-4</c:v>
                </c:pt>
                <c:pt idx="141">
                  <c:v>7.5999999999999998E-2</c:v>
                </c:pt>
                <c:pt idx="142">
                  <c:v>2.3300000000000001E-2</c:v>
                </c:pt>
                <c:pt idx="143">
                  <c:v>2.4299999999999999E-2</c:v>
                </c:pt>
                <c:pt idx="144">
                  <c:v>0.14699999999999999</c:v>
                </c:pt>
                <c:pt idx="145">
                  <c:v>0.16</c:v>
                </c:pt>
                <c:pt idx="146">
                  <c:v>8.0199999999999998E-5</c:v>
                </c:pt>
                <c:pt idx="147">
                  <c:v>3.2500000000000001E-2</c:v>
                </c:pt>
                <c:pt idx="148">
                  <c:v>6.1499999999999999E-2</c:v>
                </c:pt>
              </c:numCache>
            </c:numRef>
          </c:yVal>
          <c:smooth val="0"/>
          <c:extLst>
            <c:ext xmlns:c16="http://schemas.microsoft.com/office/drawing/2014/chart" uri="{C3380CC4-5D6E-409C-BE32-E72D297353CC}">
              <c16:uniqueId val="{00000000-E7C8-C84F-A214-C5248B50DFC5}"/>
            </c:ext>
          </c:extLst>
        </c:ser>
        <c:dLbls>
          <c:showLegendKey val="0"/>
          <c:showVal val="0"/>
          <c:showCatName val="0"/>
          <c:showSerName val="0"/>
          <c:showPercent val="0"/>
          <c:showBubbleSize val="0"/>
        </c:dLbls>
        <c:axId val="77646064"/>
        <c:axId val="77647776"/>
      </c:scatterChart>
      <c:valAx>
        <c:axId val="77646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of Song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7776"/>
        <c:crosses val="autoZero"/>
        <c:crossBetween val="midCat"/>
      </c:valAx>
      <c:valAx>
        <c:axId val="776477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Acousticness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60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Danceability vs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'Cleansed Data'!$E$1</c:f>
              <c:strCache>
                <c:ptCount val="1"/>
                <c:pt idx="0">
                  <c:v>Danceability</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'Cleansed Data'!$D$2:$D$150</c:f>
              <c:numCache>
                <c:formatCode>0</c:formatCode>
                <c:ptCount val="149"/>
                <c:pt idx="0">
                  <c:v>54</c:v>
                </c:pt>
                <c:pt idx="1">
                  <c:v>74</c:v>
                </c:pt>
                <c:pt idx="2">
                  <c:v>47</c:v>
                </c:pt>
                <c:pt idx="3">
                  <c:v>44</c:v>
                </c:pt>
                <c:pt idx="4">
                  <c:v>61</c:v>
                </c:pt>
                <c:pt idx="5">
                  <c:v>10</c:v>
                </c:pt>
                <c:pt idx="6">
                  <c:v>1</c:v>
                </c:pt>
                <c:pt idx="7">
                  <c:v>30</c:v>
                </c:pt>
                <c:pt idx="8">
                  <c:v>31</c:v>
                </c:pt>
                <c:pt idx="9">
                  <c:v>77</c:v>
                </c:pt>
                <c:pt idx="10">
                  <c:v>4</c:v>
                </c:pt>
                <c:pt idx="11">
                  <c:v>14</c:v>
                </c:pt>
                <c:pt idx="12">
                  <c:v>2</c:v>
                </c:pt>
                <c:pt idx="13">
                  <c:v>53</c:v>
                </c:pt>
                <c:pt idx="14">
                  <c:v>79</c:v>
                </c:pt>
                <c:pt idx="15">
                  <c:v>28</c:v>
                </c:pt>
                <c:pt idx="16">
                  <c:v>52</c:v>
                </c:pt>
                <c:pt idx="17">
                  <c:v>32</c:v>
                </c:pt>
                <c:pt idx="18">
                  <c:v>37</c:v>
                </c:pt>
                <c:pt idx="19">
                  <c:v>37</c:v>
                </c:pt>
                <c:pt idx="20">
                  <c:v>29</c:v>
                </c:pt>
                <c:pt idx="21">
                  <c:v>59</c:v>
                </c:pt>
                <c:pt idx="22">
                  <c:v>63</c:v>
                </c:pt>
                <c:pt idx="23">
                  <c:v>33</c:v>
                </c:pt>
                <c:pt idx="24">
                  <c:v>28</c:v>
                </c:pt>
                <c:pt idx="25">
                  <c:v>41</c:v>
                </c:pt>
                <c:pt idx="26">
                  <c:v>47</c:v>
                </c:pt>
                <c:pt idx="27">
                  <c:v>3</c:v>
                </c:pt>
                <c:pt idx="28">
                  <c:v>30</c:v>
                </c:pt>
                <c:pt idx="29">
                  <c:v>63</c:v>
                </c:pt>
                <c:pt idx="30">
                  <c:v>50</c:v>
                </c:pt>
                <c:pt idx="31">
                  <c:v>37</c:v>
                </c:pt>
                <c:pt idx="32">
                  <c:v>53</c:v>
                </c:pt>
                <c:pt idx="33">
                  <c:v>52</c:v>
                </c:pt>
                <c:pt idx="34">
                  <c:v>16</c:v>
                </c:pt>
                <c:pt idx="35">
                  <c:v>20</c:v>
                </c:pt>
                <c:pt idx="36">
                  <c:v>59</c:v>
                </c:pt>
                <c:pt idx="37">
                  <c:v>41</c:v>
                </c:pt>
                <c:pt idx="38">
                  <c:v>51</c:v>
                </c:pt>
                <c:pt idx="39">
                  <c:v>7</c:v>
                </c:pt>
                <c:pt idx="40">
                  <c:v>44</c:v>
                </c:pt>
                <c:pt idx="41">
                  <c:v>54</c:v>
                </c:pt>
                <c:pt idx="42">
                  <c:v>5</c:v>
                </c:pt>
                <c:pt idx="43">
                  <c:v>41</c:v>
                </c:pt>
                <c:pt idx="44">
                  <c:v>3</c:v>
                </c:pt>
                <c:pt idx="45">
                  <c:v>37</c:v>
                </c:pt>
                <c:pt idx="46">
                  <c:v>54</c:v>
                </c:pt>
                <c:pt idx="47">
                  <c:v>10</c:v>
                </c:pt>
                <c:pt idx="48">
                  <c:v>41</c:v>
                </c:pt>
                <c:pt idx="49">
                  <c:v>29</c:v>
                </c:pt>
                <c:pt idx="50">
                  <c:v>80</c:v>
                </c:pt>
                <c:pt idx="51">
                  <c:v>60</c:v>
                </c:pt>
                <c:pt idx="52">
                  <c:v>17</c:v>
                </c:pt>
                <c:pt idx="53">
                  <c:v>36</c:v>
                </c:pt>
                <c:pt idx="54">
                  <c:v>62</c:v>
                </c:pt>
                <c:pt idx="55">
                  <c:v>47</c:v>
                </c:pt>
                <c:pt idx="56">
                  <c:v>18</c:v>
                </c:pt>
                <c:pt idx="57">
                  <c:v>53</c:v>
                </c:pt>
                <c:pt idx="58">
                  <c:v>52</c:v>
                </c:pt>
                <c:pt idx="59">
                  <c:v>59</c:v>
                </c:pt>
                <c:pt idx="60">
                  <c:v>66</c:v>
                </c:pt>
                <c:pt idx="61">
                  <c:v>46</c:v>
                </c:pt>
                <c:pt idx="62">
                  <c:v>63</c:v>
                </c:pt>
                <c:pt idx="63">
                  <c:v>67</c:v>
                </c:pt>
                <c:pt idx="64">
                  <c:v>63</c:v>
                </c:pt>
                <c:pt idx="65">
                  <c:v>5</c:v>
                </c:pt>
                <c:pt idx="66">
                  <c:v>58</c:v>
                </c:pt>
                <c:pt idx="67">
                  <c:v>2</c:v>
                </c:pt>
                <c:pt idx="68">
                  <c:v>61</c:v>
                </c:pt>
                <c:pt idx="69">
                  <c:v>72</c:v>
                </c:pt>
                <c:pt idx="70">
                  <c:v>77</c:v>
                </c:pt>
                <c:pt idx="71">
                  <c:v>38</c:v>
                </c:pt>
                <c:pt idx="72">
                  <c:v>33</c:v>
                </c:pt>
                <c:pt idx="73">
                  <c:v>9</c:v>
                </c:pt>
                <c:pt idx="74">
                  <c:v>31</c:v>
                </c:pt>
                <c:pt idx="75">
                  <c:v>13</c:v>
                </c:pt>
                <c:pt idx="76">
                  <c:v>6</c:v>
                </c:pt>
                <c:pt idx="77">
                  <c:v>62</c:v>
                </c:pt>
                <c:pt idx="78">
                  <c:v>38</c:v>
                </c:pt>
                <c:pt idx="79">
                  <c:v>51</c:v>
                </c:pt>
                <c:pt idx="80">
                  <c:v>18</c:v>
                </c:pt>
                <c:pt idx="81">
                  <c:v>61</c:v>
                </c:pt>
                <c:pt idx="82">
                  <c:v>12</c:v>
                </c:pt>
                <c:pt idx="83">
                  <c:v>43</c:v>
                </c:pt>
                <c:pt idx="84">
                  <c:v>54</c:v>
                </c:pt>
                <c:pt idx="85">
                  <c:v>56</c:v>
                </c:pt>
                <c:pt idx="86">
                  <c:v>12</c:v>
                </c:pt>
                <c:pt idx="87">
                  <c:v>50</c:v>
                </c:pt>
                <c:pt idx="88">
                  <c:v>43</c:v>
                </c:pt>
                <c:pt idx="89">
                  <c:v>29</c:v>
                </c:pt>
                <c:pt idx="90">
                  <c:v>55</c:v>
                </c:pt>
                <c:pt idx="91">
                  <c:v>69</c:v>
                </c:pt>
                <c:pt idx="92">
                  <c:v>63</c:v>
                </c:pt>
                <c:pt idx="93">
                  <c:v>60</c:v>
                </c:pt>
                <c:pt idx="94">
                  <c:v>21</c:v>
                </c:pt>
                <c:pt idx="95">
                  <c:v>31</c:v>
                </c:pt>
                <c:pt idx="96">
                  <c:v>45</c:v>
                </c:pt>
                <c:pt idx="97">
                  <c:v>42</c:v>
                </c:pt>
                <c:pt idx="98">
                  <c:v>78</c:v>
                </c:pt>
                <c:pt idx="99">
                  <c:v>55</c:v>
                </c:pt>
                <c:pt idx="100">
                  <c:v>19</c:v>
                </c:pt>
                <c:pt idx="101">
                  <c:v>8</c:v>
                </c:pt>
                <c:pt idx="102">
                  <c:v>57</c:v>
                </c:pt>
                <c:pt idx="103">
                  <c:v>50</c:v>
                </c:pt>
                <c:pt idx="104">
                  <c:v>43</c:v>
                </c:pt>
                <c:pt idx="105">
                  <c:v>26</c:v>
                </c:pt>
                <c:pt idx="106">
                  <c:v>49</c:v>
                </c:pt>
                <c:pt idx="107">
                  <c:v>11</c:v>
                </c:pt>
                <c:pt idx="108">
                  <c:v>38</c:v>
                </c:pt>
                <c:pt idx="109">
                  <c:v>6</c:v>
                </c:pt>
                <c:pt idx="110">
                  <c:v>27</c:v>
                </c:pt>
                <c:pt idx="111">
                  <c:v>72</c:v>
                </c:pt>
                <c:pt idx="112">
                  <c:v>53</c:v>
                </c:pt>
                <c:pt idx="113">
                  <c:v>81</c:v>
                </c:pt>
                <c:pt idx="114">
                  <c:v>50</c:v>
                </c:pt>
                <c:pt idx="115">
                  <c:v>52</c:v>
                </c:pt>
                <c:pt idx="116">
                  <c:v>44</c:v>
                </c:pt>
                <c:pt idx="117">
                  <c:v>34</c:v>
                </c:pt>
                <c:pt idx="118">
                  <c:v>68</c:v>
                </c:pt>
                <c:pt idx="119">
                  <c:v>43</c:v>
                </c:pt>
                <c:pt idx="120">
                  <c:v>77</c:v>
                </c:pt>
                <c:pt idx="121">
                  <c:v>46</c:v>
                </c:pt>
                <c:pt idx="122">
                  <c:v>56</c:v>
                </c:pt>
                <c:pt idx="123">
                  <c:v>12</c:v>
                </c:pt>
                <c:pt idx="124">
                  <c:v>44</c:v>
                </c:pt>
                <c:pt idx="125">
                  <c:v>18</c:v>
                </c:pt>
                <c:pt idx="126">
                  <c:v>23</c:v>
                </c:pt>
                <c:pt idx="127">
                  <c:v>50</c:v>
                </c:pt>
                <c:pt idx="128">
                  <c:v>8</c:v>
                </c:pt>
                <c:pt idx="129">
                  <c:v>39</c:v>
                </c:pt>
                <c:pt idx="130">
                  <c:v>54</c:v>
                </c:pt>
                <c:pt idx="131">
                  <c:v>76</c:v>
                </c:pt>
                <c:pt idx="132">
                  <c:v>50</c:v>
                </c:pt>
                <c:pt idx="133">
                  <c:v>44</c:v>
                </c:pt>
                <c:pt idx="134">
                  <c:v>65</c:v>
                </c:pt>
                <c:pt idx="135">
                  <c:v>55</c:v>
                </c:pt>
                <c:pt idx="136">
                  <c:v>39</c:v>
                </c:pt>
                <c:pt idx="137">
                  <c:v>52</c:v>
                </c:pt>
                <c:pt idx="138">
                  <c:v>69</c:v>
                </c:pt>
                <c:pt idx="139">
                  <c:v>51</c:v>
                </c:pt>
                <c:pt idx="140">
                  <c:v>47</c:v>
                </c:pt>
                <c:pt idx="141">
                  <c:v>64</c:v>
                </c:pt>
                <c:pt idx="142">
                  <c:v>27</c:v>
                </c:pt>
                <c:pt idx="143">
                  <c:v>57</c:v>
                </c:pt>
                <c:pt idx="144">
                  <c:v>25</c:v>
                </c:pt>
                <c:pt idx="145">
                  <c:v>65</c:v>
                </c:pt>
                <c:pt idx="146">
                  <c:v>62</c:v>
                </c:pt>
                <c:pt idx="147">
                  <c:v>24</c:v>
                </c:pt>
                <c:pt idx="148">
                  <c:v>48</c:v>
                </c:pt>
              </c:numCache>
            </c:numRef>
          </c:xVal>
          <c:yVal>
            <c:numRef>
              <c:f>'Cleansed Data'!$E$2:$E$150</c:f>
              <c:numCache>
                <c:formatCode>0.00</c:formatCode>
                <c:ptCount val="149"/>
                <c:pt idx="0">
                  <c:v>0.75800000000000001</c:v>
                </c:pt>
                <c:pt idx="1">
                  <c:v>0.50700000000000001</c:v>
                </c:pt>
                <c:pt idx="2">
                  <c:v>0.71199999999999997</c:v>
                </c:pt>
                <c:pt idx="3">
                  <c:v>0.51800000000000002</c:v>
                </c:pt>
                <c:pt idx="4">
                  <c:v>0.73399999999999999</c:v>
                </c:pt>
                <c:pt idx="5">
                  <c:v>0.65600000000000003</c:v>
                </c:pt>
                <c:pt idx="6">
                  <c:v>0.498</c:v>
                </c:pt>
                <c:pt idx="7">
                  <c:v>0.62</c:v>
                </c:pt>
                <c:pt idx="8">
                  <c:v>0.64600000000000002</c:v>
                </c:pt>
                <c:pt idx="9">
                  <c:v>0.754</c:v>
                </c:pt>
                <c:pt idx="10">
                  <c:v>0.28000000000000003</c:v>
                </c:pt>
                <c:pt idx="11">
                  <c:v>0.44400000000000001</c:v>
                </c:pt>
                <c:pt idx="12">
                  <c:v>0.55000000000000004</c:v>
                </c:pt>
                <c:pt idx="13">
                  <c:v>0.72199999999999998</c:v>
                </c:pt>
                <c:pt idx="14">
                  <c:v>0.69</c:v>
                </c:pt>
                <c:pt idx="15">
                  <c:v>0.38700000000000001</c:v>
                </c:pt>
                <c:pt idx="16">
                  <c:v>0.70299999999999996</c:v>
                </c:pt>
                <c:pt idx="17">
                  <c:v>0.65100000000000002</c:v>
                </c:pt>
                <c:pt idx="18">
                  <c:v>0.66700000000000004</c:v>
                </c:pt>
                <c:pt idx="19">
                  <c:v>0.65200000000000002</c:v>
                </c:pt>
                <c:pt idx="20">
                  <c:v>0.64200000000000002</c:v>
                </c:pt>
                <c:pt idx="21">
                  <c:v>0.27300000000000002</c:v>
                </c:pt>
                <c:pt idx="22">
                  <c:v>0.57099999999999995</c:v>
                </c:pt>
                <c:pt idx="23">
                  <c:v>0.54100000000000004</c:v>
                </c:pt>
                <c:pt idx="24">
                  <c:v>0.74</c:v>
                </c:pt>
                <c:pt idx="25">
                  <c:v>0.495</c:v>
                </c:pt>
                <c:pt idx="26">
                  <c:v>0.59799999999999998</c:v>
                </c:pt>
                <c:pt idx="27">
                  <c:v>0.55200000000000005</c:v>
                </c:pt>
                <c:pt idx="28">
                  <c:v>0.71199999999999997</c:v>
                </c:pt>
                <c:pt idx="29">
                  <c:v>0.51400000000000001</c:v>
                </c:pt>
                <c:pt idx="30">
                  <c:v>0.72299999999999998</c:v>
                </c:pt>
                <c:pt idx="31">
                  <c:v>0.57799999999999996</c:v>
                </c:pt>
                <c:pt idx="32">
                  <c:v>0.93500000000000005</c:v>
                </c:pt>
                <c:pt idx="33">
                  <c:v>0.94799999999999995</c:v>
                </c:pt>
                <c:pt idx="34">
                  <c:v>0.69099999999999995</c:v>
                </c:pt>
                <c:pt idx="35">
                  <c:v>0.58899999999999997</c:v>
                </c:pt>
                <c:pt idx="36">
                  <c:v>0.48399999999999999</c:v>
                </c:pt>
                <c:pt idx="37">
                  <c:v>0.54300000000000004</c:v>
                </c:pt>
                <c:pt idx="38">
                  <c:v>0.61399999999999999</c:v>
                </c:pt>
                <c:pt idx="39">
                  <c:v>0.86899999999999999</c:v>
                </c:pt>
                <c:pt idx="40">
                  <c:v>0.434</c:v>
                </c:pt>
                <c:pt idx="41">
                  <c:v>0.67600000000000005</c:v>
                </c:pt>
                <c:pt idx="42">
                  <c:v>0.70499999999999996</c:v>
                </c:pt>
                <c:pt idx="43">
                  <c:v>0.64400000000000002</c:v>
                </c:pt>
                <c:pt idx="44">
                  <c:v>0.28599999999999998</c:v>
                </c:pt>
                <c:pt idx="45">
                  <c:v>0.72599999999999998</c:v>
                </c:pt>
                <c:pt idx="46">
                  <c:v>0.52100000000000002</c:v>
                </c:pt>
                <c:pt idx="47">
                  <c:v>0.28999999999999998</c:v>
                </c:pt>
                <c:pt idx="48">
                  <c:v>0.58099999999999996</c:v>
                </c:pt>
                <c:pt idx="49">
                  <c:v>0.16200000000000001</c:v>
                </c:pt>
                <c:pt idx="50">
                  <c:v>0.65700000000000003</c:v>
                </c:pt>
                <c:pt idx="51">
                  <c:v>0.623</c:v>
                </c:pt>
                <c:pt idx="52">
                  <c:v>0.503</c:v>
                </c:pt>
                <c:pt idx="53">
                  <c:v>0.59299999999999997</c:v>
                </c:pt>
                <c:pt idx="54">
                  <c:v>0.92600000000000005</c:v>
                </c:pt>
                <c:pt idx="55">
                  <c:v>0.91400000000000003</c:v>
                </c:pt>
                <c:pt idx="56">
                  <c:v>0.80500000000000005</c:v>
                </c:pt>
                <c:pt idx="57">
                  <c:v>0.84599999999999997</c:v>
                </c:pt>
                <c:pt idx="58">
                  <c:v>0.436</c:v>
                </c:pt>
                <c:pt idx="59">
                  <c:v>0.34200000000000003</c:v>
                </c:pt>
                <c:pt idx="60">
                  <c:v>0.68500000000000005</c:v>
                </c:pt>
                <c:pt idx="61">
                  <c:v>0.71899999999999997</c:v>
                </c:pt>
                <c:pt idx="62">
                  <c:v>0.77500000000000002</c:v>
                </c:pt>
                <c:pt idx="63">
                  <c:v>0.48599999999999999</c:v>
                </c:pt>
                <c:pt idx="64">
                  <c:v>0.52900000000000003</c:v>
                </c:pt>
                <c:pt idx="65">
                  <c:v>0.83199999999999996</c:v>
                </c:pt>
                <c:pt idx="66">
                  <c:v>0.85</c:v>
                </c:pt>
                <c:pt idx="67">
                  <c:v>0.73599999999999999</c:v>
                </c:pt>
                <c:pt idx="68">
                  <c:v>0.75800000000000001</c:v>
                </c:pt>
                <c:pt idx="69">
                  <c:v>0.54900000000000004</c:v>
                </c:pt>
                <c:pt idx="70">
                  <c:v>0.53200000000000003</c:v>
                </c:pt>
                <c:pt idx="71">
                  <c:v>0.69099999999999995</c:v>
                </c:pt>
                <c:pt idx="72">
                  <c:v>0.68799999999999994</c:v>
                </c:pt>
                <c:pt idx="73">
                  <c:v>0.64500000000000002</c:v>
                </c:pt>
                <c:pt idx="74">
                  <c:v>0.45600000000000002</c:v>
                </c:pt>
                <c:pt idx="75">
                  <c:v>0.80300000000000005</c:v>
                </c:pt>
                <c:pt idx="76">
                  <c:v>0.27600000000000002</c:v>
                </c:pt>
                <c:pt idx="77">
                  <c:v>0.57699999999999996</c:v>
                </c:pt>
                <c:pt idx="78">
                  <c:v>0.376</c:v>
                </c:pt>
                <c:pt idx="79">
                  <c:v>0.65200000000000002</c:v>
                </c:pt>
                <c:pt idx="80">
                  <c:v>0.41599999999999998</c:v>
                </c:pt>
                <c:pt idx="81">
                  <c:v>0.45800000000000002</c:v>
                </c:pt>
                <c:pt idx="82">
                  <c:v>0.66500000000000004</c:v>
                </c:pt>
                <c:pt idx="83">
                  <c:v>0.79700000000000004</c:v>
                </c:pt>
                <c:pt idx="84">
                  <c:v>0.50900000000000001</c:v>
                </c:pt>
                <c:pt idx="85">
                  <c:v>0.55100000000000005</c:v>
                </c:pt>
                <c:pt idx="86">
                  <c:v>0.73899999999999999</c:v>
                </c:pt>
                <c:pt idx="87">
                  <c:v>0.54200000000000004</c:v>
                </c:pt>
                <c:pt idx="88">
                  <c:v>0.375</c:v>
                </c:pt>
                <c:pt idx="89">
                  <c:v>0.73299999999999998</c:v>
                </c:pt>
                <c:pt idx="90">
                  <c:v>0.88700000000000001</c:v>
                </c:pt>
                <c:pt idx="91">
                  <c:v>0.57499999999999996</c:v>
                </c:pt>
                <c:pt idx="92">
                  <c:v>0.75800000000000001</c:v>
                </c:pt>
                <c:pt idx="93">
                  <c:v>0.73899999999999999</c:v>
                </c:pt>
                <c:pt idx="94">
                  <c:v>0.39700000000000002</c:v>
                </c:pt>
                <c:pt idx="95">
                  <c:v>0.78600000000000003</c:v>
                </c:pt>
                <c:pt idx="96">
                  <c:v>0.51700000000000002</c:v>
                </c:pt>
                <c:pt idx="97">
                  <c:v>0.56499999999999995</c:v>
                </c:pt>
                <c:pt idx="98">
                  <c:v>0.90600000000000003</c:v>
                </c:pt>
                <c:pt idx="99">
                  <c:v>0.59799999999999998</c:v>
                </c:pt>
                <c:pt idx="100">
                  <c:v>0.63900000000000001</c:v>
                </c:pt>
                <c:pt idx="101">
                  <c:v>0.80100000000000005</c:v>
                </c:pt>
                <c:pt idx="102">
                  <c:v>0.65100000000000002</c:v>
                </c:pt>
                <c:pt idx="103">
                  <c:v>0.748</c:v>
                </c:pt>
                <c:pt idx="104">
                  <c:v>0.77100000000000002</c:v>
                </c:pt>
                <c:pt idx="105">
                  <c:v>0.41499999999999998</c:v>
                </c:pt>
                <c:pt idx="106">
                  <c:v>0.54300000000000004</c:v>
                </c:pt>
                <c:pt idx="107">
                  <c:v>0.505</c:v>
                </c:pt>
                <c:pt idx="108">
                  <c:v>0.39400000000000002</c:v>
                </c:pt>
                <c:pt idx="109">
                  <c:v>0.5</c:v>
                </c:pt>
                <c:pt idx="110">
                  <c:v>0.752</c:v>
                </c:pt>
                <c:pt idx="111">
                  <c:v>0.44700000000000001</c:v>
                </c:pt>
                <c:pt idx="112">
                  <c:v>0.63300000000000001</c:v>
                </c:pt>
                <c:pt idx="113">
                  <c:v>0.56100000000000005</c:v>
                </c:pt>
                <c:pt idx="114">
                  <c:v>0.44800000000000001</c:v>
                </c:pt>
                <c:pt idx="115">
                  <c:v>0.83</c:v>
                </c:pt>
                <c:pt idx="116">
                  <c:v>0.46800000000000003</c:v>
                </c:pt>
                <c:pt idx="117">
                  <c:v>0.53600000000000003</c:v>
                </c:pt>
                <c:pt idx="118">
                  <c:v>0.42099999999999999</c:v>
                </c:pt>
                <c:pt idx="119">
                  <c:v>0.72199999999999998</c:v>
                </c:pt>
                <c:pt idx="120">
                  <c:v>0.36</c:v>
                </c:pt>
                <c:pt idx="121">
                  <c:v>0.69099999999999995</c:v>
                </c:pt>
                <c:pt idx="122">
                  <c:v>0.77500000000000002</c:v>
                </c:pt>
                <c:pt idx="123">
                  <c:v>0.41399999999999998</c:v>
                </c:pt>
                <c:pt idx="124">
                  <c:v>0.81899999999999995</c:v>
                </c:pt>
                <c:pt idx="125">
                  <c:v>0.81399999999999995</c:v>
                </c:pt>
                <c:pt idx="126">
                  <c:v>0.71199999999999997</c:v>
                </c:pt>
                <c:pt idx="127">
                  <c:v>0.64200000000000002</c:v>
                </c:pt>
                <c:pt idx="128">
                  <c:v>0.755</c:v>
                </c:pt>
                <c:pt idx="129">
                  <c:v>0.71299999999999997</c:v>
                </c:pt>
                <c:pt idx="130">
                  <c:v>0.68100000000000005</c:v>
                </c:pt>
                <c:pt idx="131">
                  <c:v>0.69599999999999995</c:v>
                </c:pt>
                <c:pt idx="132">
                  <c:v>0.40899999999999997</c:v>
                </c:pt>
                <c:pt idx="133">
                  <c:v>0.56899999999999995</c:v>
                </c:pt>
                <c:pt idx="134">
                  <c:v>0.70099999999999996</c:v>
                </c:pt>
                <c:pt idx="135">
                  <c:v>0.56999999999999995</c:v>
                </c:pt>
                <c:pt idx="136">
                  <c:v>0.77400000000000002</c:v>
                </c:pt>
                <c:pt idx="137">
                  <c:v>0.77700000000000002</c:v>
                </c:pt>
                <c:pt idx="138">
                  <c:v>0.82</c:v>
                </c:pt>
                <c:pt idx="139">
                  <c:v>0.44700000000000001</c:v>
                </c:pt>
                <c:pt idx="140">
                  <c:v>0.88700000000000001</c:v>
                </c:pt>
                <c:pt idx="141">
                  <c:v>0.73399999999999999</c:v>
                </c:pt>
                <c:pt idx="142">
                  <c:v>0.60899999999999999</c:v>
                </c:pt>
                <c:pt idx="143">
                  <c:v>0.53100000000000003</c:v>
                </c:pt>
                <c:pt idx="144">
                  <c:v>0.67500000000000004</c:v>
                </c:pt>
                <c:pt idx="145">
                  <c:v>0.84</c:v>
                </c:pt>
                <c:pt idx="146">
                  <c:v>0.34100000000000003</c:v>
                </c:pt>
                <c:pt idx="147">
                  <c:v>0.80500000000000005</c:v>
                </c:pt>
                <c:pt idx="148">
                  <c:v>0.82199999999999995</c:v>
                </c:pt>
              </c:numCache>
            </c:numRef>
          </c:yVal>
          <c:smooth val="0"/>
          <c:extLst>
            <c:ext xmlns:c16="http://schemas.microsoft.com/office/drawing/2014/chart" uri="{C3380CC4-5D6E-409C-BE32-E72D297353CC}">
              <c16:uniqueId val="{00000000-E8C2-D64A-B13C-9F4AD4249844}"/>
            </c:ext>
          </c:extLst>
        </c:ser>
        <c:dLbls>
          <c:showLegendKey val="0"/>
          <c:showVal val="0"/>
          <c:showCatName val="0"/>
          <c:showSerName val="0"/>
          <c:showPercent val="0"/>
          <c:showBubbleSize val="0"/>
        </c:dLbls>
        <c:axId val="836424224"/>
        <c:axId val="835925152"/>
      </c:scatterChart>
      <c:valAx>
        <c:axId val="83642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925152"/>
        <c:crosses val="autoZero"/>
        <c:crossBetween val="midCat"/>
      </c:valAx>
      <c:valAx>
        <c:axId val="835925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Danceability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4242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rPr lang="en-US"/>
              <a:t>Popularity </a:t>
            </a:r>
            <a:endParaRPr/>
          </a:p>
        </cx:rich>
      </cx:tx>
    </cx:title>
    <cx:plotArea>
      <cx:plotAreaRegion>
        <cx:series layoutId="boxWhisker" uniqueId="{6DFDCB92-D45D-7A41-B128-271BCE05CDD8}">
          <cx:tx>
            <cx:txData>
              <cx:f>_xlchart.v1.4</cx:f>
              <cx:v>Song Age</cx:v>
            </cx:txData>
          </cx:tx>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tle>
          <cx:tx>
            <cx:txData>
              <cx:v>Axis Title</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Axis Title</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Axis Title</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Axis Title</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Song Age </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Song Age </a:t>
          </a:r>
        </a:p>
      </cx:txPr>
    </cx:title>
    <cx:plotArea>
      <cx:plotAreaRegion>
        <cx:series layoutId="boxWhisker" uniqueId="{00000000-34EC-4787-A748-71A7BEC0A56E}">
          <cx:tx>
            <cx:txData>
              <cx:f>_xlchart.v1.8</cx:f>
              <cx:v>Song Age</cx:v>
            </cx:txData>
          </cx:tx>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Danceability</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Danceability</a:t>
          </a:r>
        </a:p>
      </cx:txPr>
    </cx:title>
    <cx:plotArea>
      <cx:plotAreaRegion>
        <cx:series layoutId="boxWhisker" uniqueId="{00000000-C90E-4451-BCE7-BAE3B8C6C4AC}">
          <cx:tx>
            <cx:txData>
              <cx:f>_xlchart.v1.2</cx:f>
              <cx:v>Danceability</cx:v>
            </cx:txData>
          </cx:tx>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Acousticness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Acousticness</a:t>
          </a:r>
        </a:p>
      </cx:txPr>
    </cx:title>
    <cx:plotArea>
      <cx:plotAreaRegion>
        <cx:series layoutId="boxWhisker" uniqueId="{00000000-40FD-4839-9846-E2698F56AB10}">
          <cx:tx>
            <cx:txData>
              <cx:f>_xlchart.v1.10</cx:f>
              <cx:v>Acousticness</cx:v>
            </cx:txData>
          </cx:tx>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Tempo </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Tempo </a:t>
          </a:r>
        </a:p>
      </cx:txPr>
    </cx:title>
    <cx:plotArea>
      <cx:plotAreaRegion>
        <cx:series layoutId="boxWhisker" uniqueId="{00000000-1DA5-4E05-9A62-EE8887182B7B}">
          <cx:tx>
            <cx:txData>
              <cx:f>_xlchart.v1.0</cx:f>
              <cx:v>Tempo</cx:v>
            </cx:txData>
          </cx:tx>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Duration</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Duration</a:t>
          </a:r>
        </a:p>
      </cx:txPr>
    </cx:title>
    <cx:plotArea>
      <cx:plotAreaRegion>
        <cx:series layoutId="boxWhisker" uniqueId="{00000000-418A-432E-A08D-A9D9B930754A}">
          <cx:tx>
            <cx:txData>
              <cx:f>_xlchart.v1.6</cx:f>
              <cx:v>Duration</cx:v>
            </cx:txData>
          </cx:tx>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chartData>
  <cx:chart>
    <cx:plotArea>
      <cx:plotAreaRegion>
        <cx:series layoutId="clusteredColumn" uniqueId="{929505B9-9CC0-4E79-8B1F-4AF3B6F118AD}">
          <cx:dataId val="0"/>
          <cx:layoutPr>
            <cx:binning intervalClosed="r"/>
          </cx:layoutPr>
        </cx:series>
      </cx:plotAreaRegion>
      <cx:axis id="0">
        <cx:catScaling gapWidth="0"/>
        <cx:title>
          <cx:tx>
            <cx:txData>
              <cx:v>Song Duration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Song Duration</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2</xdr:col>
      <xdr:colOff>796925</xdr:colOff>
      <xdr:row>0</xdr:row>
      <xdr:rowOff>41275</xdr:rowOff>
    </xdr:from>
    <xdr:to>
      <xdr:col>8</xdr:col>
      <xdr:colOff>0</xdr:colOff>
      <xdr:row>10</xdr:row>
      <xdr:rowOff>127000</xdr:rowOff>
    </xdr:to>
    <xdr:graphicFrame macro="">
      <xdr:nvGraphicFramePr>
        <xdr:cNvPr id="39" name="Chart 1">
          <a:extLst>
            <a:ext uri="{FF2B5EF4-FFF2-40B4-BE49-F238E27FC236}">
              <a16:creationId xmlns:a16="http://schemas.microsoft.com/office/drawing/2014/main" id="{149F0098-0ED4-B5C6-00DF-760293478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647700</xdr:colOff>
      <xdr:row>17</xdr:row>
      <xdr:rowOff>63499</xdr:rowOff>
    </xdr:from>
    <xdr:to>
      <xdr:col>8</xdr:col>
      <xdr:colOff>311150</xdr:colOff>
      <xdr:row>28</xdr:row>
      <xdr:rowOff>168274</xdr:rowOff>
    </xdr:to>
    <xdr:graphicFrame macro="">
      <xdr:nvGraphicFramePr>
        <xdr:cNvPr id="38" name="Chart 3">
          <a:extLst>
            <a:ext uri="{FF2B5EF4-FFF2-40B4-BE49-F238E27FC236}">
              <a16:creationId xmlns:a16="http://schemas.microsoft.com/office/drawing/2014/main" id="{40287E58-B5A9-446D-BBB2-F7860A259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25400</xdr:colOff>
      <xdr:row>3</xdr:row>
      <xdr:rowOff>88900</xdr:rowOff>
    </xdr:from>
    <xdr:to>
      <xdr:col>12</xdr:col>
      <xdr:colOff>406400</xdr:colOff>
      <xdr:row>9</xdr:row>
      <xdr:rowOff>165100</xdr:rowOff>
    </xdr:to>
    <xdr:sp macro="" textlink="">
      <xdr:nvSpPr>
        <xdr:cNvPr id="489" name="TextBox 15">
          <a:extLst>
            <a:ext uri="{FF2B5EF4-FFF2-40B4-BE49-F238E27FC236}">
              <a16:creationId xmlns:a16="http://schemas.microsoft.com/office/drawing/2014/main" id="{1959E17B-B70F-6391-05E5-517C645B8274}"/>
            </a:ext>
          </a:extLst>
        </xdr:cNvPr>
        <xdr:cNvSpPr txBox="1"/>
      </xdr:nvSpPr>
      <xdr:spPr>
        <a:xfrm>
          <a:off x="8102600" y="698500"/>
          <a:ext cx="285750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pie chart shows</a:t>
          </a:r>
          <a:r>
            <a:rPr lang="en-US" sz="1100" baseline="0"/>
            <a:t> the distribution of different music genres. The chart shows the count of each genre out of the sample of 150 songs, as we can see the genres are all pretty even but the most popular is rock.</a:t>
          </a:r>
          <a:endParaRPr lang="en-US" sz="1100"/>
        </a:p>
      </xdr:txBody>
    </xdr:sp>
    <xdr:clientData/>
  </xdr:twoCellAnchor>
  <xdr:twoCellAnchor>
    <xdr:from>
      <xdr:col>9</xdr:col>
      <xdr:colOff>203200</xdr:colOff>
      <xdr:row>19</xdr:row>
      <xdr:rowOff>101600</xdr:rowOff>
    </xdr:from>
    <xdr:to>
      <xdr:col>13</xdr:col>
      <xdr:colOff>101600</xdr:colOff>
      <xdr:row>26</xdr:row>
      <xdr:rowOff>190500</xdr:rowOff>
    </xdr:to>
    <xdr:sp macro="" textlink="">
      <xdr:nvSpPr>
        <xdr:cNvPr id="492" name="TextBox 16">
          <a:extLst>
            <a:ext uri="{FF2B5EF4-FFF2-40B4-BE49-F238E27FC236}">
              <a16:creationId xmlns:a16="http://schemas.microsoft.com/office/drawing/2014/main" id="{FAF9ED82-FFAE-FD6A-F13A-1F2F2830959A}"/>
            </a:ext>
          </a:extLst>
        </xdr:cNvPr>
        <xdr:cNvSpPr txBox="1"/>
      </xdr:nvSpPr>
      <xdr:spPr>
        <a:xfrm>
          <a:off x="8280400" y="3962400"/>
          <a:ext cx="3200400" cy="151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pie chart shows the two different</a:t>
          </a:r>
          <a:r>
            <a:rPr lang="en-US" sz="1100" baseline="0"/>
            <a:t> energy levels that these songs have. As we can see, a majority of the songs from the sample data have high energy levels.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0</xdr:row>
      <xdr:rowOff>149225</xdr:rowOff>
    </xdr:from>
    <xdr:to>
      <xdr:col>8</xdr:col>
      <xdr:colOff>434975</xdr:colOff>
      <xdr:row>14</xdr:row>
      <xdr:rowOff>63500</xdr:rowOff>
    </xdr:to>
    <mc:AlternateContent xmlns:mc="http://schemas.openxmlformats.org/markup-compatibility/2006">
      <mc:Choice xmlns:cx1="http://schemas.microsoft.com/office/drawing/2015/9/8/chartex" Requires="cx1">
        <xdr:graphicFrame macro="">
          <xdr:nvGraphicFramePr>
            <xdr:cNvPr id="45" name="Chart 16">
              <a:extLst>
                <a:ext uri="{FF2B5EF4-FFF2-40B4-BE49-F238E27FC236}">
                  <a16:creationId xmlns:a16="http://schemas.microsoft.com/office/drawing/2014/main" id="{637805F6-319E-6343-8E0F-D6048323EE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94050" y="149225"/>
              <a:ext cx="3883025" cy="3165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581025</xdr:colOff>
      <xdr:row>22</xdr:row>
      <xdr:rowOff>123825</xdr:rowOff>
    </xdr:from>
    <xdr:to>
      <xdr:col>8</xdr:col>
      <xdr:colOff>647700</xdr:colOff>
      <xdr:row>35</xdr:row>
      <xdr:rowOff>76200</xdr:rowOff>
    </xdr:to>
    <mc:AlternateContent xmlns:mc="http://schemas.openxmlformats.org/markup-compatibility/2006">
      <mc:Choice xmlns:cx1="http://schemas.microsoft.com/office/drawing/2015/9/8/chartex" Requires="cx1">
        <xdr:graphicFrame macro="">
          <xdr:nvGraphicFramePr>
            <xdr:cNvPr id="57" name="Chart 6">
              <a:extLst>
                <a:ext uri="{FF2B5EF4-FFF2-40B4-BE49-F238E27FC236}">
                  <a16:creationId xmlns:a16="http://schemas.microsoft.com/office/drawing/2014/main" id="{D8846C27-1F82-DFC8-0677-8F415F87FD49}"/>
                </a:ext>
                <a:ext uri="{147F2762-F138-4A5C-976F-8EAC2B608ADB}">
                  <a16:predDERef xmlns:a16="http://schemas.microsoft.com/office/drawing/2014/main" pred="{637805F6-319E-6343-8E0F-D6048323EE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184525" y="5000625"/>
              <a:ext cx="4105275" cy="2593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590550</xdr:colOff>
      <xdr:row>40</xdr:row>
      <xdr:rowOff>171450</xdr:rowOff>
    </xdr:from>
    <xdr:to>
      <xdr:col>9</xdr:col>
      <xdr:colOff>361950</xdr:colOff>
      <xdr:row>54</xdr:row>
      <xdr:rowOff>114300</xdr:rowOff>
    </xdr:to>
    <mc:AlternateContent xmlns:mc="http://schemas.openxmlformats.org/markup-compatibility/2006">
      <mc:Choice xmlns:cx1="http://schemas.microsoft.com/office/drawing/2015/9/8/chartex" Requires="cx1">
        <xdr:graphicFrame macro="">
          <xdr:nvGraphicFramePr>
            <xdr:cNvPr id="42" name="Chart 7">
              <a:extLst>
                <a:ext uri="{FF2B5EF4-FFF2-40B4-BE49-F238E27FC236}">
                  <a16:creationId xmlns:a16="http://schemas.microsoft.com/office/drawing/2014/main" id="{9CDF15ED-448D-2F75-0DAA-C629C28C6835}"/>
                </a:ext>
                <a:ext uri="{147F2762-F138-4A5C-976F-8EAC2B608ADB}">
                  <a16:predDERef xmlns:a16="http://schemas.microsoft.com/office/drawing/2014/main" pred="{D8846C27-1F82-DFC8-0677-8F415F87FD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194050" y="8705850"/>
              <a:ext cx="4483100" cy="278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619125</xdr:colOff>
      <xdr:row>60</xdr:row>
      <xdr:rowOff>190500</xdr:rowOff>
    </xdr:from>
    <xdr:to>
      <xdr:col>9</xdr:col>
      <xdr:colOff>390525</xdr:colOff>
      <xdr:row>74</xdr:row>
      <xdr:rowOff>133350</xdr:rowOff>
    </xdr:to>
    <mc:AlternateContent xmlns:mc="http://schemas.openxmlformats.org/markup-compatibility/2006">
      <mc:Choice xmlns:cx1="http://schemas.microsoft.com/office/drawing/2015/9/8/chartex" Requires="cx1">
        <xdr:graphicFrame macro="">
          <xdr:nvGraphicFramePr>
            <xdr:cNvPr id="43" name="Chart 8">
              <a:extLst>
                <a:ext uri="{FF2B5EF4-FFF2-40B4-BE49-F238E27FC236}">
                  <a16:creationId xmlns:a16="http://schemas.microsoft.com/office/drawing/2014/main" id="{13850A62-49E4-562E-A89D-D6CD719F8EFF}"/>
                </a:ext>
                <a:ext uri="{147F2762-F138-4A5C-976F-8EAC2B608ADB}">
                  <a16:predDERef xmlns:a16="http://schemas.microsoft.com/office/drawing/2014/main" pred="{9CDF15ED-448D-2F75-0DAA-C629C28C68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222625" y="12788900"/>
              <a:ext cx="4483100" cy="278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638175</xdr:colOff>
      <xdr:row>79</xdr:row>
      <xdr:rowOff>171450</xdr:rowOff>
    </xdr:from>
    <xdr:to>
      <xdr:col>9</xdr:col>
      <xdr:colOff>409575</xdr:colOff>
      <xdr:row>93</xdr:row>
      <xdr:rowOff>114300</xdr:rowOff>
    </xdr:to>
    <mc:AlternateContent xmlns:mc="http://schemas.openxmlformats.org/markup-compatibility/2006">
      <mc:Choice xmlns:cx1="http://schemas.microsoft.com/office/drawing/2015/9/8/chartex" Requires="cx1">
        <xdr:graphicFrame macro="">
          <xdr:nvGraphicFramePr>
            <xdr:cNvPr id="46" name="Chart 9">
              <a:extLst>
                <a:ext uri="{FF2B5EF4-FFF2-40B4-BE49-F238E27FC236}">
                  <a16:creationId xmlns:a16="http://schemas.microsoft.com/office/drawing/2014/main" id="{CC7CEDB5-D937-818D-D931-5F0AFDE2B92B}"/>
                </a:ext>
                <a:ext uri="{147F2762-F138-4A5C-976F-8EAC2B608ADB}">
                  <a16:predDERef xmlns:a16="http://schemas.microsoft.com/office/drawing/2014/main" pred="{13850A62-49E4-562E-A89D-D6CD719F8E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241675" y="16630650"/>
              <a:ext cx="4483100" cy="278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590550</xdr:colOff>
      <xdr:row>100</xdr:row>
      <xdr:rowOff>9525</xdr:rowOff>
    </xdr:from>
    <xdr:to>
      <xdr:col>9</xdr:col>
      <xdr:colOff>361950</xdr:colOff>
      <xdr:row>113</xdr:row>
      <xdr:rowOff>152400</xdr:rowOff>
    </xdr:to>
    <mc:AlternateContent xmlns:mc="http://schemas.openxmlformats.org/markup-compatibility/2006">
      <mc:Choice xmlns:cx1="http://schemas.microsoft.com/office/drawing/2015/9/8/chartex" Requires="cx1">
        <xdr:graphicFrame macro="">
          <xdr:nvGraphicFramePr>
            <xdr:cNvPr id="58" name="Chart 10">
              <a:extLst>
                <a:ext uri="{FF2B5EF4-FFF2-40B4-BE49-F238E27FC236}">
                  <a16:creationId xmlns:a16="http://schemas.microsoft.com/office/drawing/2014/main" id="{4A0F5B0A-1C46-4409-2B24-2B6EDFDAB35D}"/>
                </a:ext>
                <a:ext uri="{147F2762-F138-4A5C-976F-8EAC2B608ADB}">
                  <a16:predDERef xmlns:a16="http://schemas.microsoft.com/office/drawing/2014/main" pred="{CC7CEDB5-D937-818D-D931-5F0AFDE2B9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194050" y="20735925"/>
              <a:ext cx="4483100" cy="2784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628650</xdr:colOff>
      <xdr:row>4</xdr:row>
      <xdr:rowOff>9525</xdr:rowOff>
    </xdr:from>
    <xdr:to>
      <xdr:col>10</xdr:col>
      <xdr:colOff>142875</xdr:colOff>
      <xdr:row>10</xdr:row>
      <xdr:rowOff>104775</xdr:rowOff>
    </xdr:to>
    <xdr:sp macro="" textlink="">
      <xdr:nvSpPr>
        <xdr:cNvPr id="68" name="TextBox 46">
          <a:extLst>
            <a:ext uri="{FF2B5EF4-FFF2-40B4-BE49-F238E27FC236}">
              <a16:creationId xmlns:a16="http://schemas.microsoft.com/office/drawing/2014/main" id="{2962AB5A-D3C6-A30C-AC81-5F8991F14137}"/>
            </a:ext>
            <a:ext uri="{147F2762-F138-4A5C-976F-8EAC2B608ADB}">
              <a16:predDERef xmlns:a16="http://schemas.microsoft.com/office/drawing/2014/main" pred="{4A0F5B0A-1C46-4409-2B24-2B6EDFDAB35D}"/>
            </a:ext>
          </a:extLst>
        </xdr:cNvPr>
        <xdr:cNvSpPr txBox="1"/>
      </xdr:nvSpPr>
      <xdr:spPr>
        <a:xfrm>
          <a:off x="7343775" y="809625"/>
          <a:ext cx="3009900" cy="1676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 box plot for Popularity shows a minimum score of 1 and a maximum of 81, with most scores clustered between 28.23 and 56.15. The median is 45, meaning half of the songs fall below this score. The plot shows 8 outliers, indicating that some songs have popularity scores significantly lower or higher than the majority. The interquartile range (IQR) is approximately 28, indicating a moderate spread in the middle 50% of scores.</a:t>
          </a:r>
        </a:p>
        <a:p>
          <a:pPr marL="0" indent="0" algn="l"/>
          <a:endParaRPr lang="en-US" sz="1100">
            <a:latin typeface="+mn-lt"/>
            <a:ea typeface="+mn-lt"/>
            <a:cs typeface="+mn-lt"/>
          </a:endParaRPr>
        </a:p>
      </xdr:txBody>
    </xdr:sp>
    <xdr:clientData/>
  </xdr:twoCellAnchor>
  <xdr:twoCellAnchor>
    <xdr:from>
      <xdr:col>9</xdr:col>
      <xdr:colOff>352425</xdr:colOff>
      <xdr:row>22</xdr:row>
      <xdr:rowOff>161925</xdr:rowOff>
    </xdr:from>
    <xdr:to>
      <xdr:col>10</xdr:col>
      <xdr:colOff>581025</xdr:colOff>
      <xdr:row>32</xdr:row>
      <xdr:rowOff>171450</xdr:rowOff>
    </xdr:to>
    <xdr:sp macro="" textlink="">
      <xdr:nvSpPr>
        <xdr:cNvPr id="114" name="TextBox 47">
          <a:extLst>
            <a:ext uri="{FF2B5EF4-FFF2-40B4-BE49-F238E27FC236}">
              <a16:creationId xmlns:a16="http://schemas.microsoft.com/office/drawing/2014/main" id="{8E43B179-CBFD-1741-4B5D-D16BF7754355}"/>
            </a:ext>
            <a:ext uri="{147F2762-F138-4A5C-976F-8EAC2B608ADB}">
              <a16:predDERef xmlns:a16="http://schemas.microsoft.com/office/drawing/2014/main" pred="{2962AB5A-D3C6-A30C-AC81-5F8991F14137}"/>
            </a:ext>
          </a:extLst>
        </xdr:cNvPr>
        <xdr:cNvSpPr txBox="1"/>
      </xdr:nvSpPr>
      <xdr:spPr>
        <a:xfrm>
          <a:off x="7753350" y="4943475"/>
          <a:ext cx="3038475" cy="20097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 box plot for Song Age shows a minimum age of 0 years and a maximum of 53 years. Most songs are clustered between relatively young ages</a:t>
          </a:r>
          <a:r>
            <a:rPr lang="en-US" sz="1100" b="0" i="0" u="none" strike="noStrike">
              <a:solidFill>
                <a:srgbClr val="000000"/>
              </a:solidFill>
              <a:latin typeface="Aptos Narrow" panose="020B0004020202020204" pitchFamily="34" charset="0"/>
            </a:rPr>
            <a:t> </a:t>
          </a:r>
          <a:r>
            <a:rPr lang="en-US" sz="1100">
              <a:latin typeface="+mn-lt"/>
              <a:ea typeface="+mn-lt"/>
              <a:cs typeface="+mn-lt"/>
            </a:rPr>
            <a:t>around the lower end</a:t>
          </a:r>
          <a:r>
            <a:rPr lang="en-US" sz="1100" b="0" i="0" u="none" strike="noStrike">
              <a:solidFill>
                <a:srgbClr val="000000"/>
              </a:solidFill>
              <a:latin typeface="Aptos Narrow" panose="020B0004020202020204" pitchFamily="34" charset="0"/>
            </a:rPr>
            <a:t> </a:t>
          </a:r>
          <a:r>
            <a:rPr lang="en-US" sz="1100">
              <a:latin typeface="+mn-lt"/>
              <a:ea typeface="+mn-lt"/>
              <a:cs typeface="+mn-lt"/>
            </a:rPr>
            <a:t>reflected by the median of 4 years, meaning half of the songs are younger than 4 years. The data distribution is right‑skewed, indicating a tail of older songs that stretch toward the maximum. The interquartile range (IQR) reflects the range of ages in the middle 50% of songs, showing a moderate to wide spread in that central group.</a:t>
          </a:r>
        </a:p>
      </xdr:txBody>
    </xdr:sp>
    <xdr:clientData/>
  </xdr:twoCellAnchor>
  <xdr:twoCellAnchor>
    <xdr:from>
      <xdr:col>9</xdr:col>
      <xdr:colOff>514431</xdr:colOff>
      <xdr:row>41</xdr:row>
      <xdr:rowOff>24113</xdr:rowOff>
    </xdr:from>
    <xdr:to>
      <xdr:col>11</xdr:col>
      <xdr:colOff>198395</xdr:colOff>
      <xdr:row>52</xdr:row>
      <xdr:rowOff>96455</xdr:rowOff>
    </xdr:to>
    <xdr:sp macro="" textlink="">
      <xdr:nvSpPr>
        <xdr:cNvPr id="69" name="TextBox 114">
          <a:extLst>
            <a:ext uri="{FF2B5EF4-FFF2-40B4-BE49-F238E27FC236}">
              <a16:creationId xmlns:a16="http://schemas.microsoft.com/office/drawing/2014/main" id="{C08710DE-E835-6158-7116-D30011100367}"/>
            </a:ext>
            <a:ext uri="{147F2762-F138-4A5C-976F-8EAC2B608ADB}">
              <a16:predDERef xmlns:a16="http://schemas.microsoft.com/office/drawing/2014/main" pred="{8E43B179-CBFD-1741-4B5D-D16BF7754355}"/>
            </a:ext>
          </a:extLst>
        </xdr:cNvPr>
        <xdr:cNvSpPr txBox="1"/>
      </xdr:nvSpPr>
      <xdr:spPr>
        <a:xfrm>
          <a:off x="7668228" y="8721202"/>
          <a:ext cx="3148332" cy="22827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The box plot for Danceability shows a minimum score of 0.16 and a maximum of 0.95, with most values clustered between 0.51 and 0.74. The median score is 0.64, indicating that half of the songs have a danceability below this level. The plot reveals one clear outlier on the low end, suggesting that a single track is significantly less danceable than the others. The interquartile range (IQR) is 0.23, reflecting a moderate spread in the middle 50% of values. Overall, the distribution is slightly left-skewed, as shown by the skewness of -0.30, meaning there are a few tracks with notably lower danceability scores pulling the average down.</a:t>
          </a:r>
        </a:p>
      </xdr:txBody>
    </xdr:sp>
    <xdr:clientData/>
  </xdr:twoCellAnchor>
  <xdr:twoCellAnchor>
    <xdr:from>
      <xdr:col>9</xdr:col>
      <xdr:colOff>595774</xdr:colOff>
      <xdr:row>62</xdr:row>
      <xdr:rowOff>65267</xdr:rowOff>
    </xdr:from>
    <xdr:to>
      <xdr:col>11</xdr:col>
      <xdr:colOff>510373</xdr:colOff>
      <xdr:row>75</xdr:row>
      <xdr:rowOff>0</xdr:rowOff>
    </xdr:to>
    <xdr:sp macro="" textlink="">
      <xdr:nvSpPr>
        <xdr:cNvPr id="70" name="TextBox 115">
          <a:extLst>
            <a:ext uri="{FF2B5EF4-FFF2-40B4-BE49-F238E27FC236}">
              <a16:creationId xmlns:a16="http://schemas.microsoft.com/office/drawing/2014/main" id="{5E29AE90-4DED-0FED-3F3E-11A37CB90133}"/>
            </a:ext>
          </a:extLst>
        </xdr:cNvPr>
        <xdr:cNvSpPr txBox="1"/>
      </xdr:nvSpPr>
      <xdr:spPr>
        <a:xfrm>
          <a:off x="7789133" y="12854564"/>
          <a:ext cx="3387256" cy="2514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box plot for Acousticness shows a minimum score close to 0.00 and a maximum of 0.87, with most values concentrated between 0.00 and 0.25. The median is 0.063, indicating that over half of the songs have very low acoustic characteristics. The mean is slightly higher at 0.15, and the distribution is highly right-skewed, with a skewness of 1.72 and several outliers above 0.57. This means a few songs have much higher acousticness than the rest, pulling the average upward. The interquartile range (IQR) is 0.25, showing a moderate spread in the middle 50% of scores. Overall, most tracks are electronically produced or have low acoustic properties, with a small number of exceptions.</a:t>
          </a:r>
        </a:p>
        <a:p>
          <a:endParaRPr lang="en-US" sz="1100"/>
        </a:p>
      </xdr:txBody>
    </xdr:sp>
    <xdr:clientData/>
  </xdr:twoCellAnchor>
  <xdr:oneCellAnchor>
    <xdr:from>
      <xdr:col>11</xdr:col>
      <xdr:colOff>297405</xdr:colOff>
      <xdr:row>69</xdr:row>
      <xdr:rowOff>192911</xdr:rowOff>
    </xdr:from>
    <xdr:ext cx="184731" cy="264560"/>
    <xdr:sp macro="" textlink="">
      <xdr:nvSpPr>
        <xdr:cNvPr id="59" name="TextBox 116">
          <a:extLst>
            <a:ext uri="{FF2B5EF4-FFF2-40B4-BE49-F238E27FC236}">
              <a16:creationId xmlns:a16="http://schemas.microsoft.com/office/drawing/2014/main" id="{32DF75F4-A60F-67F6-4B06-870C8B880901}"/>
            </a:ext>
          </a:extLst>
        </xdr:cNvPr>
        <xdr:cNvSpPr txBox="1"/>
      </xdr:nvSpPr>
      <xdr:spPr>
        <a:xfrm>
          <a:off x="10915570" y="145326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602850</xdr:colOff>
      <xdr:row>81</xdr:row>
      <xdr:rowOff>24114</xdr:rowOff>
    </xdr:from>
    <xdr:to>
      <xdr:col>11</xdr:col>
      <xdr:colOff>818972</xdr:colOff>
      <xdr:row>93</xdr:row>
      <xdr:rowOff>104493</xdr:rowOff>
    </xdr:to>
    <xdr:sp macro="" textlink="">
      <xdr:nvSpPr>
        <xdr:cNvPr id="125" name="TextBox 117">
          <a:extLst>
            <a:ext uri="{FF2B5EF4-FFF2-40B4-BE49-F238E27FC236}">
              <a16:creationId xmlns:a16="http://schemas.microsoft.com/office/drawing/2014/main" id="{47CAE3F8-93AB-74F4-CB42-765AAA4716B1}"/>
            </a:ext>
            <a:ext uri="{147F2762-F138-4A5C-976F-8EAC2B608ADB}">
              <a16:predDERef xmlns:a16="http://schemas.microsoft.com/office/drawing/2014/main" pred="{32DF75F4-A60F-67F6-4B06-870C8B880901}"/>
            </a:ext>
          </a:extLst>
        </xdr:cNvPr>
        <xdr:cNvSpPr txBox="1"/>
      </xdr:nvSpPr>
      <xdr:spPr>
        <a:xfrm>
          <a:off x="9041822" y="16925796"/>
          <a:ext cx="3848085" cy="2501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The box plot for Tempo shows a range from 78 to 180 BPM, with most songs falling between 96 and 128 BPM, indicating that the majority sit in a moderate to upbeat tempo range. The median is 117 BPM and the mean is slightly higher at 118.23 BPM, suggesting a fairly balanced distribution with a small pull toward faster songs. The mode of 128 BPM shows this tempo is especially common, while the slight right skew (0.60) indicates there are more high-tempo outliers than slow ones. With a standard deviation of about 26 BPM, the dataset shows a reasonable amount of variation, but overall, most tracks maintain a consistent energetic pacing.</a:t>
          </a:r>
        </a:p>
        <a:p>
          <a:pPr marL="0" indent="0"/>
          <a:endParaRPr lang="en-US" sz="1100">
            <a:solidFill>
              <a:schemeClr val="dk1"/>
            </a:solidFill>
            <a:latin typeface="+mn-lt"/>
            <a:ea typeface="+mn-lt"/>
            <a:cs typeface="+mn-lt"/>
          </a:endParaRPr>
        </a:p>
      </xdr:txBody>
    </xdr:sp>
    <xdr:clientData/>
  </xdr:twoCellAnchor>
  <xdr:twoCellAnchor>
    <xdr:from>
      <xdr:col>9</xdr:col>
      <xdr:colOff>683228</xdr:colOff>
      <xdr:row>100</xdr:row>
      <xdr:rowOff>184874</xdr:rowOff>
    </xdr:from>
    <xdr:to>
      <xdr:col>12</xdr:col>
      <xdr:colOff>356074</xdr:colOff>
      <xdr:row>113</xdr:row>
      <xdr:rowOff>184873</xdr:rowOff>
    </xdr:to>
    <xdr:sp macro="" textlink="">
      <xdr:nvSpPr>
        <xdr:cNvPr id="123" name="TextBox 118">
          <a:extLst>
            <a:ext uri="{FF2B5EF4-FFF2-40B4-BE49-F238E27FC236}">
              <a16:creationId xmlns:a16="http://schemas.microsoft.com/office/drawing/2014/main" id="{0E3EFBEA-0793-3E30-0D9A-364DBF20681C}"/>
            </a:ext>
          </a:extLst>
        </xdr:cNvPr>
        <xdr:cNvSpPr txBox="1"/>
      </xdr:nvSpPr>
      <xdr:spPr>
        <a:xfrm>
          <a:off x="9122200" y="20944033"/>
          <a:ext cx="4135650" cy="2623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box plot for Duration shows song lengths ranging from 109 to 506 seconds, with most tracks clustered between 195 and 258 seconds (about 3 to 4 minutes). The median is 220 seconds, while the mean is slightly higher at 231.44 seconds, indicating a slight pull from longer tracks. The distribution is right-skewed (skewness = 1.32), suggesting that while most songs fall within a typical radio-friendly range, a few significantly longer tracks extend the upper tail. The standard deviation of about 61.7 seconds reflects moderate variation in length. Overall, most songs follow conventional durations, with a handful of extended tracks acting as outliers.</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462490</xdr:colOff>
      <xdr:row>0</xdr:row>
      <xdr:rowOff>11640</xdr:rowOff>
    </xdr:from>
    <xdr:ext cx="5450226" cy="14231121"/>
    <xdr:sp macro="" textlink="">
      <xdr:nvSpPr>
        <xdr:cNvPr id="5" name="TextBox 1">
          <a:extLst>
            <a:ext uri="{FF2B5EF4-FFF2-40B4-BE49-F238E27FC236}">
              <a16:creationId xmlns:a16="http://schemas.microsoft.com/office/drawing/2014/main" id="{4CE2B3FF-CAE7-B61C-64D7-9EF820BACAC9}"/>
            </a:ext>
          </a:extLst>
        </xdr:cNvPr>
        <xdr:cNvSpPr txBox="1"/>
      </xdr:nvSpPr>
      <xdr:spPr>
        <a:xfrm>
          <a:off x="6949015" y="11640"/>
          <a:ext cx="5450226" cy="1423112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u="sng"/>
            <a:t>Correlation</a:t>
          </a:r>
          <a:r>
            <a:rPr lang="en-US" sz="1200" b="1" u="sng" baseline="0"/>
            <a:t> Between Variables: </a:t>
          </a:r>
        </a:p>
        <a:p>
          <a:endParaRPr lang="en-US" sz="1200" baseline="0"/>
        </a:p>
        <a:p>
          <a:r>
            <a:rPr lang="en-US" sz="1200" b="1"/>
            <a:t>Song Age Correlation</a:t>
          </a:r>
          <a:r>
            <a:rPr lang="en-US" sz="1200" b="1" baseline="0"/>
            <a:t> Between</a:t>
          </a:r>
          <a:r>
            <a:rPr lang="en-US" sz="1200" b="1"/>
            <a:t>: </a:t>
          </a:r>
        </a:p>
        <a:p>
          <a:r>
            <a:rPr lang="en-US" sz="1200" u="sng"/>
            <a:t>- Popularity</a:t>
          </a:r>
          <a:r>
            <a:rPr lang="en-US" sz="1200"/>
            <a:t>: The</a:t>
          </a:r>
          <a:r>
            <a:rPr lang="en-US" sz="1200" baseline="0"/>
            <a:t> correlation between song age and popularity is (-0.041). This is an example of a very weak negative correlation. For our data meaning songs that came out longer ago are somewhat less popular but there's not a strong enough relationship to really conclude that overall. </a:t>
          </a:r>
          <a:endParaRPr lang="en-US" sz="1200"/>
        </a:p>
        <a:p>
          <a:r>
            <a:rPr lang="en-US" sz="1200" u="sng"/>
            <a:t>- Danceability</a:t>
          </a:r>
          <a:r>
            <a:rPr lang="en-US" sz="1200"/>
            <a:t>: Correlation</a:t>
          </a:r>
          <a:r>
            <a:rPr lang="en-US" sz="1200" baseline="0"/>
            <a:t> between song age and danceability is (-0.233), showing a slightly negative correlation. This means that older songs are a little less danceable than newer songs, but with (-0.2) being so far away from -1 this is not a strong relatoinship. </a:t>
          </a:r>
          <a:endParaRPr lang="en-US" sz="1200"/>
        </a:p>
        <a:p>
          <a:r>
            <a:rPr lang="en-US" sz="1200" u="sng"/>
            <a:t>- Acousticness</a:t>
          </a:r>
          <a:r>
            <a:rPr lang="en-US" sz="1200"/>
            <a:t>: Correlation between song age and acousticness is 0.091,</a:t>
          </a:r>
          <a:r>
            <a:rPr lang="en-US" sz="1200" baseline="0"/>
            <a:t> our first positive correlation. In our data this means that older songs are more acoustic than newer songs. This is a very weak correlation, as we can see on our Acousticness Vs. Song Age scatterplot but the trendline is positive. </a:t>
          </a:r>
          <a:endParaRPr lang="en-US" sz="1200"/>
        </a:p>
        <a:p>
          <a:r>
            <a:rPr lang="en-US" sz="1200" u="sng"/>
            <a:t>- Tempo</a:t>
          </a:r>
          <a:r>
            <a:rPr lang="en-US" sz="1200"/>
            <a:t>: The correlation between song age and tempo is 0.011. This is a barely positive</a:t>
          </a:r>
          <a:r>
            <a:rPr lang="en-US" sz="1200" baseline="0"/>
            <a:t> correlation between variables so there really is not a correlation seen in tempo shifts as songs get older/newer. Older songs and newer songs are of the same speeds no matter the age. </a:t>
          </a:r>
          <a:endParaRPr lang="en-US" sz="1200"/>
        </a:p>
        <a:p>
          <a:r>
            <a:rPr lang="en-US" sz="1200" u="sng"/>
            <a:t>- Duration</a:t>
          </a:r>
          <a:r>
            <a:rPr lang="en-US" sz="1200"/>
            <a:t>: The correlaion between song age and duration is 0.243 which is a slightly positive</a:t>
          </a:r>
          <a:r>
            <a:rPr lang="en-US" sz="1200" baseline="0"/>
            <a:t> (but weak) correlation. For our data this represents that songs made a while ago are a little bit longer than newer songs. This could be a result of newer songs being shorter for catchiness purposes but nonetheless this correlation is slight being far away from 1. </a:t>
          </a:r>
        </a:p>
        <a:p>
          <a:r>
            <a:rPr lang="en-US" sz="1200" b="1" baseline="0"/>
            <a:t>Popularity Correlation Between: </a:t>
          </a:r>
        </a:p>
        <a:p>
          <a:r>
            <a:rPr lang="en-US" sz="1200" u="sng" baseline="0"/>
            <a:t>- Danceability</a:t>
          </a:r>
          <a:r>
            <a:rPr lang="en-US" sz="1200" baseline="0"/>
            <a:t>: The correlation between popularity and danceability is 0.100, a very weak but positive relationship. There is barely a relationship between these variables to say a lot, but for our data this means that songs that are popular tend to be a little more danceable. This is likely a weak correlation because of the many different genres and factors of music that relate to its popularity. </a:t>
          </a:r>
        </a:p>
        <a:p>
          <a:r>
            <a:rPr lang="en-US" sz="1200" u="sng" baseline="0"/>
            <a:t>- Acousticness</a:t>
          </a:r>
          <a:r>
            <a:rPr lang="en-US" sz="1200" baseline="0"/>
            <a:t>: Correlation between popularity and acousticness came out to be 0.055. This is an even weaker relationship to popularity than danceability was, saying that the relationship is not that meaningful. But there's a very little correlation between more acoustic songs to be more popular than less acoustic songs. Again, this positive correlation is very weak so there's not much significance between these variables. </a:t>
          </a:r>
        </a:p>
        <a:p>
          <a:r>
            <a:rPr lang="en-US" sz="1200" u="sng" baseline="0"/>
            <a:t>- Tempo</a:t>
          </a:r>
          <a:r>
            <a:rPr lang="en-US" sz="1200" baseline="0"/>
            <a:t>: The correlation between popularity and tempo is 0.015, which is such a weak positive correlation that there is barely correlation there. Meaning for our data that the speed of a song does not really correlate to the popularity of the song. This is similar to what we viewed in the results of correlation between song age and tempo. </a:t>
          </a:r>
        </a:p>
        <a:p>
          <a:r>
            <a:rPr lang="en-US" sz="1200" u="sng" baseline="0"/>
            <a:t>- Duration</a:t>
          </a:r>
          <a:r>
            <a:rPr lang="en-US" sz="1200" baseline="0"/>
            <a:t>: The correlation between popularity and duration of the song was (-0.265). This is a more moderate negative correlation compared to our other variables relationships as (-0.265) is closer to -1 than our other values have been. For our data this means that shorter songs seem to be more likely to be popular than longer songs. Relating this to song age and duration, we can see that older songs are more likely to be popular so shifts in modern music taste may be one reason for this correlation. </a:t>
          </a:r>
        </a:p>
        <a:p>
          <a:r>
            <a:rPr lang="en-US" sz="1200" b="1" baseline="0"/>
            <a:t>Danceability Correlation Between: </a:t>
          </a:r>
        </a:p>
        <a:p>
          <a:r>
            <a:rPr lang="en-US" sz="1200" u="sng" baseline="0"/>
            <a:t>- Acousticness</a:t>
          </a:r>
          <a:r>
            <a:rPr lang="en-US" sz="1200" baseline="0"/>
            <a:t>: Correlation between danceability and acousticness came out to be 0.043. This is a very weak positive correlation between variables that represent that there's barely a relationship between danceability and acousticness. Meaning that songs with primarily insturments are not more or less danceable than those without. </a:t>
          </a:r>
        </a:p>
        <a:p>
          <a:r>
            <a:rPr lang="en-US" sz="1200" u="sng" baseline="0"/>
            <a:t>- Tempo</a:t>
          </a:r>
          <a:r>
            <a:rPr lang="en-US" sz="1200" baseline="0"/>
            <a:t>: The correlation between danceability and tempo is (-0.122), a weak and negative correlation. In our data this means that even though it's slight, faster tempo songs are possibly less danceable. The weaker correlation means that this is not very significant, but it is still depicted in our data. </a:t>
          </a:r>
        </a:p>
        <a:p>
          <a:r>
            <a:rPr lang="en-US" sz="1200" u="sng" baseline="0"/>
            <a:t>- Duration</a:t>
          </a:r>
          <a:r>
            <a:rPr lang="en-US" sz="1200" baseline="0"/>
            <a:t>: The correlation between danceability and duration of the songs is (-0.430), (rounded up). This is a moderate negative relationship between these variables, because (-0.430) is fairly close to -1 in respect to our other correlation findings. In our data this represent that longer songs seem to be less dancable than short songs are. This could be because shorter songs are more repetitive and fast-paced, which people may prefer to dance to. </a:t>
          </a:r>
        </a:p>
        <a:p>
          <a:r>
            <a:rPr lang="en-US" sz="1200" b="1" baseline="0"/>
            <a:t>Acousticness Correlation Between: </a:t>
          </a:r>
        </a:p>
        <a:p>
          <a:r>
            <a:rPr lang="en-US" sz="1200" u="sng" baseline="0"/>
            <a:t>- Tempo</a:t>
          </a:r>
          <a:r>
            <a:rPr lang="en-US" sz="1200" baseline="0"/>
            <a:t>: Correlation between acousticness and tempo of the song came out to be (-0.129). This means that the relationship between these variables is very weak and negative. Songs that are more acoustic are usually slightly slower than songs that are less acoustic. Even though this relationship is weak it is still slightly there. </a:t>
          </a:r>
        </a:p>
        <a:p>
          <a:r>
            <a:rPr lang="en-US" sz="1200" u="sng" baseline="0"/>
            <a:t>- Duration</a:t>
          </a:r>
          <a:r>
            <a:rPr lang="en-US" sz="1200" baseline="0"/>
            <a:t>: The correlation between acousticness and duration is (-0.085), which represents a very weak negative relationship between these variables. In our data this means that songs with more acoustics tend to be shorter in duration than songs that have less insturments to produce sounds. This relationship of correlation is very weak though, showing that this is not true for all acoustic songs.</a:t>
          </a:r>
        </a:p>
        <a:p>
          <a:r>
            <a:rPr lang="en-US" sz="1200" b="1" baseline="0"/>
            <a:t>Tempo Correlation Between: </a:t>
          </a:r>
        </a:p>
        <a:p>
          <a:r>
            <a:rPr lang="en-US" sz="1200" u="sng" baseline="0"/>
            <a:t>- Duration</a:t>
          </a:r>
          <a:r>
            <a:rPr lang="en-US" sz="1200" baseline="0"/>
            <a:t>: The correlation between tempo and duration is (-0.011) showing that there is not a very meaningful relationship between how fast/slow a song is and the duration of the song. This correlation is very weak and negative, but it is so weak that it displays that in our data there is no way to say a song that is high tempo will be shorter or longer than one that is slower. </a:t>
          </a:r>
        </a:p>
        <a:p>
          <a:endParaRPr lang="en-US" sz="1200"/>
        </a:p>
      </xdr:txBody>
    </xdr:sp>
    <xdr:clientData/>
  </xdr:oneCellAnchor>
  <xdr:twoCellAnchor>
    <xdr:from>
      <xdr:col>1</xdr:col>
      <xdr:colOff>9525</xdr:colOff>
      <xdr:row>8</xdr:row>
      <xdr:rowOff>152400</xdr:rowOff>
    </xdr:from>
    <xdr:to>
      <xdr:col>5</xdr:col>
      <xdr:colOff>673100</xdr:colOff>
      <xdr:row>22</xdr:row>
      <xdr:rowOff>53975</xdr:rowOff>
    </xdr:to>
    <xdr:graphicFrame macro="">
      <xdr:nvGraphicFramePr>
        <xdr:cNvPr id="2" name="Chart 61">
          <a:extLst>
            <a:ext uri="{FF2B5EF4-FFF2-40B4-BE49-F238E27FC236}">
              <a16:creationId xmlns:a16="http://schemas.microsoft.com/office/drawing/2014/main" id="{3CEF9B13-7E66-C248-A60F-F15AB48E7F1E}"/>
            </a:ext>
            <a:ext uri="{147F2762-F138-4A5C-976F-8EAC2B608ADB}">
              <a16:predDERef xmlns:a16="http://schemas.microsoft.com/office/drawing/2014/main" pred="{4CE2B3FF-CAE7-B61C-64D7-9EF820BAC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546100</xdr:colOff>
      <xdr:row>25</xdr:row>
      <xdr:rowOff>101600</xdr:rowOff>
    </xdr:from>
    <xdr:to>
      <xdr:col>5</xdr:col>
      <xdr:colOff>304800</xdr:colOff>
      <xdr:row>39</xdr:row>
      <xdr:rowOff>0</xdr:rowOff>
    </xdr:to>
    <xdr:graphicFrame macro="">
      <xdr:nvGraphicFramePr>
        <xdr:cNvPr id="63" name="Chart 62">
          <a:extLst>
            <a:ext uri="{FF2B5EF4-FFF2-40B4-BE49-F238E27FC236}">
              <a16:creationId xmlns:a16="http://schemas.microsoft.com/office/drawing/2014/main" id="{51E11015-A6A5-5E4F-BAF4-7E1035619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190500</xdr:colOff>
      <xdr:row>24</xdr:row>
      <xdr:rowOff>114300</xdr:rowOff>
    </xdr:from>
    <xdr:to>
      <xdr:col>16</xdr:col>
      <xdr:colOff>469900</xdr:colOff>
      <xdr:row>36</xdr:row>
      <xdr:rowOff>88900</xdr:rowOff>
    </xdr:to>
    <xdr:sp macro="" textlink="">
      <xdr:nvSpPr>
        <xdr:cNvPr id="122" name="TextBox 1">
          <a:extLst>
            <a:ext uri="{FF2B5EF4-FFF2-40B4-BE49-F238E27FC236}">
              <a16:creationId xmlns:a16="http://schemas.microsoft.com/office/drawing/2014/main" id="{7A58DF0B-6086-6462-5411-D773735C3FED}"/>
            </a:ext>
          </a:extLst>
        </xdr:cNvPr>
        <xdr:cNvSpPr txBox="1"/>
      </xdr:nvSpPr>
      <xdr:spPr>
        <a:xfrm>
          <a:off x="8318500" y="5041900"/>
          <a:ext cx="5422900" cy="241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Does the popularity of the song depend on the genre?</a:t>
          </a:r>
        </a:p>
        <a:p>
          <a:endParaRPr lang="en-US" sz="1400"/>
        </a:p>
        <a:p>
          <a:r>
            <a:rPr lang="en-US" sz="1400"/>
            <a:t>H0: The average of popularity is the same across the</a:t>
          </a:r>
          <a:r>
            <a:rPr lang="en-US" sz="1400" baseline="0"/>
            <a:t> genre</a:t>
          </a:r>
          <a:endParaRPr lang="en-US" sz="1400"/>
        </a:p>
        <a:p>
          <a:r>
            <a:rPr lang="en-US" sz="1400"/>
            <a:t>HA: The average of popularity</a:t>
          </a:r>
          <a:r>
            <a:rPr lang="en-US" sz="1400" baseline="0"/>
            <a:t> is not the same across the genres</a:t>
          </a:r>
          <a:endParaRPr lang="en-US" sz="1400"/>
        </a:p>
        <a:p>
          <a:endParaRPr lang="en-US" sz="1400"/>
        </a:p>
        <a:p>
          <a:r>
            <a:rPr lang="en-US" sz="1400"/>
            <a:t>p-value:  </a:t>
          </a:r>
          <a:r>
            <a:rPr lang="en-US" sz="1400" b="0" i="0" u="none" strike="noStrike">
              <a:solidFill>
                <a:schemeClr val="dk1"/>
              </a:solidFill>
              <a:effectLst/>
              <a:latin typeface="+mn-lt"/>
              <a:ea typeface="+mn-ea"/>
              <a:cs typeface="+mn-cs"/>
            </a:rPr>
            <a:t>0.37</a:t>
          </a:r>
        </a:p>
        <a:p>
          <a:endParaRPr lang="en-US" sz="1400" b="0" i="0" u="none" strike="noStrike">
            <a:solidFill>
              <a:schemeClr val="dk1"/>
            </a:solidFill>
            <a:effectLst/>
            <a:latin typeface="+mn-lt"/>
            <a:ea typeface="+mn-ea"/>
            <a:cs typeface="+mn-cs"/>
          </a:endParaRPr>
        </a:p>
        <a:p>
          <a:r>
            <a:rPr lang="en-US" sz="1400" b="0" i="0" u="none" strike="noStrike">
              <a:solidFill>
                <a:schemeClr val="dk1"/>
              </a:solidFill>
              <a:effectLst/>
              <a:latin typeface="+mn-lt"/>
              <a:ea typeface="+mn-ea"/>
              <a:cs typeface="+mn-cs"/>
            </a:rPr>
            <a:t>We would fail to reject the null hypotheiss of the popularity not</a:t>
          </a:r>
          <a:r>
            <a:rPr lang="en-US" sz="1400" b="0" i="0" u="none" strike="noStrike" baseline="0">
              <a:solidFill>
                <a:schemeClr val="dk1"/>
              </a:solidFill>
              <a:effectLst/>
              <a:latin typeface="+mn-lt"/>
              <a:ea typeface="+mn-ea"/>
              <a:cs typeface="+mn-cs"/>
            </a:rPr>
            <a:t> being affected by genre </a:t>
          </a:r>
          <a:r>
            <a:rPr lang="en-US" sz="1400" b="0" i="0" u="none" strike="noStrike">
              <a:solidFill>
                <a:schemeClr val="dk1"/>
              </a:solidFill>
              <a:effectLst/>
              <a:latin typeface="+mn-lt"/>
              <a:ea typeface="+mn-ea"/>
              <a:cs typeface="+mn-cs"/>
            </a:rPr>
            <a:t>becuase the p-value is grreater than alpha.</a:t>
          </a:r>
          <a:r>
            <a:rPr lang="en-US" sz="1400" b="0" i="0" u="none" strike="noStrike" baseline="0">
              <a:solidFill>
                <a:schemeClr val="dk1"/>
              </a:solidFill>
              <a:effectLst/>
              <a:latin typeface="+mn-lt"/>
              <a:ea typeface="+mn-ea"/>
              <a:cs typeface="+mn-cs"/>
            </a:rPr>
            <a:t>, making it not significantly different. </a:t>
          </a:r>
          <a:endParaRPr lang="en-US" sz="1400" b="0" i="0" u="none" strike="noStrike">
            <a:solidFill>
              <a:schemeClr val="dk1"/>
            </a:solidFill>
            <a:effectLst/>
            <a:latin typeface="+mn-lt"/>
            <a:ea typeface="+mn-ea"/>
            <a:cs typeface="+mn-cs"/>
          </a:endParaRPr>
        </a:p>
        <a:p>
          <a:endParaRPr lang="en-US" sz="1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622448</xdr:colOff>
      <xdr:row>2</xdr:row>
      <xdr:rowOff>193409</xdr:rowOff>
    </xdr:from>
    <xdr:to>
      <xdr:col>4</xdr:col>
      <xdr:colOff>854273</xdr:colOff>
      <xdr:row>7</xdr:row>
      <xdr:rowOff>22060</xdr:rowOff>
    </xdr:to>
    <xdr:sp macro="" textlink="">
      <xdr:nvSpPr>
        <xdr:cNvPr id="118" name="TextBox 1">
          <a:extLst>
            <a:ext uri="{FF2B5EF4-FFF2-40B4-BE49-F238E27FC236}">
              <a16:creationId xmlns:a16="http://schemas.microsoft.com/office/drawing/2014/main" id="{CE914AEF-B1C0-1B06-A972-95C013938123}"/>
            </a:ext>
          </a:extLst>
        </xdr:cNvPr>
        <xdr:cNvSpPr txBox="1"/>
      </xdr:nvSpPr>
      <xdr:spPr>
        <a:xfrm>
          <a:off x="3521882" y="600767"/>
          <a:ext cx="3322957" cy="84704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1</a:t>
          </a:r>
          <a:r>
            <a:rPr lang="en-US" sz="1100" baseline="0"/>
            <a:t> = All Variables </a:t>
          </a:r>
        </a:p>
        <a:p>
          <a:endParaRPr lang="en-US" sz="1100" baseline="0"/>
        </a:p>
        <a:p>
          <a:r>
            <a:rPr lang="en-US" sz="1100" baseline="0"/>
            <a:t>- Rap has highest p-value (.978), so it should be removed</a:t>
          </a:r>
          <a:endParaRPr lang="en-US" sz="1100"/>
        </a:p>
      </xdr:txBody>
    </xdr:sp>
    <xdr:clientData/>
  </xdr:twoCellAnchor>
  <xdr:twoCellAnchor>
    <xdr:from>
      <xdr:col>2</xdr:col>
      <xdr:colOff>685450</xdr:colOff>
      <xdr:row>33</xdr:row>
      <xdr:rowOff>88132</xdr:rowOff>
    </xdr:from>
    <xdr:to>
      <xdr:col>4</xdr:col>
      <xdr:colOff>917275</xdr:colOff>
      <xdr:row>38</xdr:row>
      <xdr:rowOff>107831</xdr:rowOff>
    </xdr:to>
    <xdr:sp macro="" textlink="">
      <xdr:nvSpPr>
        <xdr:cNvPr id="169" name="TextBox 2">
          <a:extLst>
            <a:ext uri="{FF2B5EF4-FFF2-40B4-BE49-F238E27FC236}">
              <a16:creationId xmlns:a16="http://schemas.microsoft.com/office/drawing/2014/main" id="{D97AC17A-97DC-4F86-9231-97BDE52A16EE}"/>
            </a:ext>
          </a:extLst>
        </xdr:cNvPr>
        <xdr:cNvSpPr txBox="1"/>
      </xdr:nvSpPr>
      <xdr:spPr>
        <a:xfrm>
          <a:off x="3584884" y="6809547"/>
          <a:ext cx="3322957" cy="1038095"/>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2</a:t>
          </a:r>
          <a:r>
            <a:rPr lang="en-US" sz="1100" baseline="0"/>
            <a:t> = No Rap Variable</a:t>
          </a:r>
        </a:p>
        <a:p>
          <a:r>
            <a:rPr lang="en-US" sz="1100" baseline="0"/>
            <a:t> </a:t>
          </a:r>
        </a:p>
        <a:p>
          <a:r>
            <a:rPr lang="en-US" sz="1100" baseline="0"/>
            <a:t>- EDM has highest p-value (.955), so it should be removed</a:t>
          </a:r>
          <a:endParaRPr lang="en-US" sz="1100"/>
        </a:p>
      </xdr:txBody>
    </xdr:sp>
    <xdr:clientData/>
  </xdr:twoCellAnchor>
  <xdr:twoCellAnchor>
    <xdr:from>
      <xdr:col>2</xdr:col>
      <xdr:colOff>817902</xdr:colOff>
      <xdr:row>63</xdr:row>
      <xdr:rowOff>107088</xdr:rowOff>
    </xdr:from>
    <xdr:to>
      <xdr:col>4</xdr:col>
      <xdr:colOff>1049727</xdr:colOff>
      <xdr:row>68</xdr:row>
      <xdr:rowOff>155754</xdr:rowOff>
    </xdr:to>
    <xdr:sp macro="" textlink="">
      <xdr:nvSpPr>
        <xdr:cNvPr id="196" name="TextBox 3">
          <a:extLst>
            <a:ext uri="{FF2B5EF4-FFF2-40B4-BE49-F238E27FC236}">
              <a16:creationId xmlns:a16="http://schemas.microsoft.com/office/drawing/2014/main" id="{F3A06F9C-1323-49B0-81EC-8A8C1F31C660}"/>
            </a:ext>
          </a:extLst>
        </xdr:cNvPr>
        <xdr:cNvSpPr txBox="1"/>
      </xdr:nvSpPr>
      <xdr:spPr>
        <a:xfrm>
          <a:off x="3717336" y="12938880"/>
          <a:ext cx="3322957" cy="106706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3</a:t>
          </a:r>
          <a:r>
            <a:rPr lang="en-US" sz="1100" baseline="0"/>
            <a:t> = No EDM Variable </a:t>
          </a:r>
        </a:p>
        <a:p>
          <a:endParaRPr lang="en-US" sz="1100" baseline="0"/>
        </a:p>
        <a:p>
          <a:r>
            <a:rPr lang="en-US" sz="1100" baseline="0"/>
            <a:t>- Danceability has highest p-value (.927), so it should be removed</a:t>
          </a:r>
          <a:endParaRPr lang="en-US" sz="1100"/>
        </a:p>
      </xdr:txBody>
    </xdr:sp>
    <xdr:clientData/>
  </xdr:twoCellAnchor>
  <xdr:twoCellAnchor>
    <xdr:from>
      <xdr:col>2</xdr:col>
      <xdr:colOff>678131</xdr:colOff>
      <xdr:row>92</xdr:row>
      <xdr:rowOff>18813</xdr:rowOff>
    </xdr:from>
    <xdr:to>
      <xdr:col>4</xdr:col>
      <xdr:colOff>909956</xdr:colOff>
      <xdr:row>97</xdr:row>
      <xdr:rowOff>11980</xdr:rowOff>
    </xdr:to>
    <xdr:sp macro="" textlink="">
      <xdr:nvSpPr>
        <xdr:cNvPr id="290" name="TextBox 4">
          <a:extLst>
            <a:ext uri="{FF2B5EF4-FFF2-40B4-BE49-F238E27FC236}">
              <a16:creationId xmlns:a16="http://schemas.microsoft.com/office/drawing/2014/main" id="{B3073341-D6A1-49DB-BE52-3DF02E36531C}"/>
            </a:ext>
          </a:extLst>
        </xdr:cNvPr>
        <xdr:cNvSpPr txBox="1"/>
      </xdr:nvSpPr>
      <xdr:spPr>
        <a:xfrm>
          <a:off x="3577565" y="18757304"/>
          <a:ext cx="3322957" cy="101156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4</a:t>
          </a:r>
          <a:r>
            <a:rPr lang="en-US" sz="1100" baseline="0"/>
            <a:t> = No Danceablility Variable </a:t>
          </a:r>
        </a:p>
        <a:p>
          <a:endParaRPr lang="en-US" sz="1100" baseline="0"/>
        </a:p>
        <a:p>
          <a:r>
            <a:rPr lang="en-US" sz="1100" baseline="0"/>
            <a:t>- Acousticness has highest p-value (.879), so it should be removed</a:t>
          </a:r>
          <a:endParaRPr lang="en-US" sz="1100"/>
        </a:p>
      </xdr:txBody>
    </xdr:sp>
    <xdr:clientData/>
  </xdr:twoCellAnchor>
  <xdr:twoCellAnchor>
    <xdr:from>
      <xdr:col>2</xdr:col>
      <xdr:colOff>1412983</xdr:colOff>
      <xdr:row>117</xdr:row>
      <xdr:rowOff>189080</xdr:rowOff>
    </xdr:from>
    <xdr:to>
      <xdr:col>5</xdr:col>
      <xdr:colOff>872101</xdr:colOff>
      <xdr:row>125</xdr:row>
      <xdr:rowOff>155754</xdr:rowOff>
    </xdr:to>
    <xdr:sp macro="" textlink="">
      <xdr:nvSpPr>
        <xdr:cNvPr id="292" name="TextBox 5">
          <a:extLst>
            <a:ext uri="{FF2B5EF4-FFF2-40B4-BE49-F238E27FC236}">
              <a16:creationId xmlns:a16="http://schemas.microsoft.com/office/drawing/2014/main" id="{43F43994-8E4C-40F3-9938-D5BE74DFA926}"/>
            </a:ext>
          </a:extLst>
        </xdr:cNvPr>
        <xdr:cNvSpPr txBox="1"/>
      </xdr:nvSpPr>
      <xdr:spPr>
        <a:xfrm>
          <a:off x="4312417" y="24019552"/>
          <a:ext cx="3844212" cy="159610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5</a:t>
          </a:r>
          <a:r>
            <a:rPr lang="en-US" sz="1100" baseline="0"/>
            <a:t> = No Acousticness Variable </a:t>
          </a:r>
        </a:p>
        <a:p>
          <a:endParaRPr lang="en-US" sz="1100" baseline="0"/>
        </a:p>
        <a:p>
          <a:r>
            <a:rPr lang="en-US" sz="1100" baseline="0"/>
            <a:t>- R&amp;B has highest p-value (0.760), so we remove it </a:t>
          </a:r>
        </a:p>
        <a:p>
          <a:r>
            <a:rPr lang="en-US" sz="1100" baseline="0"/>
            <a:t>- Other related dummy variable, Latin with p-value (0.135), will be removed as well</a:t>
          </a:r>
        </a:p>
        <a:p>
          <a:r>
            <a:rPr lang="en-US" sz="1100" baseline="0"/>
            <a:t>	- We've already removed multiple other related dummy variables previously in the genre category</a:t>
          </a:r>
          <a:endParaRPr lang="en-US" sz="1100"/>
        </a:p>
      </xdr:txBody>
    </xdr:sp>
    <xdr:clientData/>
  </xdr:twoCellAnchor>
  <xdr:twoCellAnchor>
    <xdr:from>
      <xdr:col>2</xdr:col>
      <xdr:colOff>1335555</xdr:colOff>
      <xdr:row>143</xdr:row>
      <xdr:rowOff>179717</xdr:rowOff>
    </xdr:from>
    <xdr:to>
      <xdr:col>5</xdr:col>
      <xdr:colOff>1281981</xdr:colOff>
      <xdr:row>152</xdr:row>
      <xdr:rowOff>155755</xdr:rowOff>
    </xdr:to>
    <xdr:sp macro="" textlink="">
      <xdr:nvSpPr>
        <xdr:cNvPr id="3" name="TextBox 5">
          <a:extLst>
            <a:ext uri="{FF2B5EF4-FFF2-40B4-BE49-F238E27FC236}">
              <a16:creationId xmlns:a16="http://schemas.microsoft.com/office/drawing/2014/main" id="{83CADAB1-42CD-410A-9A6A-124235CB1552}"/>
            </a:ext>
          </a:extLst>
        </xdr:cNvPr>
        <xdr:cNvSpPr txBox="1"/>
      </xdr:nvSpPr>
      <xdr:spPr>
        <a:xfrm>
          <a:off x="4234989" y="29305849"/>
          <a:ext cx="4331520" cy="1809151"/>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6</a:t>
          </a:r>
          <a:r>
            <a:rPr lang="en-US" sz="1100" baseline="0"/>
            <a:t> = No R&amp;B or Latin Variable </a:t>
          </a:r>
        </a:p>
        <a:p>
          <a:endParaRPr lang="en-US" sz="1100" baseline="0"/>
        </a:p>
        <a:p>
          <a:r>
            <a:rPr lang="en-US" sz="1100" baseline="0"/>
            <a:t>- Tempo has the highest p-value (0.751) and should be removed</a:t>
          </a:r>
        </a:p>
        <a:p>
          <a:r>
            <a:rPr lang="en-US" sz="1100" baseline="0"/>
            <a:t>-We can note the p-value change in both Tempo and Song  Age when removing R&amp;B and Latin variables. </a:t>
          </a:r>
        </a:p>
        <a:p>
          <a:r>
            <a:rPr lang="en-US" sz="1100" baseline="0"/>
            <a:t>	- Song Age's p-value change is quite drastic changing from (0.145) to (.216). This shows that there may be correlation between a song's age and the genre's of R&amp;B or Latin music. </a:t>
          </a:r>
        </a:p>
        <a:p>
          <a:r>
            <a:rPr lang="en-US" sz="1100" baseline="0"/>
            <a:t>	</a:t>
          </a:r>
          <a:endParaRPr lang="en-US" sz="1100"/>
        </a:p>
      </xdr:txBody>
    </xdr:sp>
    <xdr:clientData/>
  </xdr:twoCellAnchor>
  <xdr:twoCellAnchor>
    <xdr:from>
      <xdr:col>2</xdr:col>
      <xdr:colOff>766794</xdr:colOff>
      <xdr:row>169</xdr:row>
      <xdr:rowOff>135386</xdr:rowOff>
    </xdr:from>
    <xdr:to>
      <xdr:col>5</xdr:col>
      <xdr:colOff>225912</xdr:colOff>
      <xdr:row>176</xdr:row>
      <xdr:rowOff>162599</xdr:rowOff>
    </xdr:to>
    <xdr:sp macro="" textlink="">
      <xdr:nvSpPr>
        <xdr:cNvPr id="4" name="TextBox 5">
          <a:extLst>
            <a:ext uri="{FF2B5EF4-FFF2-40B4-BE49-F238E27FC236}">
              <a16:creationId xmlns:a16="http://schemas.microsoft.com/office/drawing/2014/main" id="{C60E0867-00CE-4ED1-B33A-D6B05D20B898}"/>
            </a:ext>
          </a:extLst>
        </xdr:cNvPr>
        <xdr:cNvSpPr txBox="1"/>
      </xdr:nvSpPr>
      <xdr:spPr>
        <a:xfrm>
          <a:off x="3666228" y="34557178"/>
          <a:ext cx="3844212" cy="145296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7</a:t>
          </a:r>
          <a:r>
            <a:rPr lang="en-US" sz="1100" baseline="0"/>
            <a:t> = No Tempo Variable </a:t>
          </a:r>
        </a:p>
        <a:p>
          <a:endParaRPr lang="en-US" sz="1100" baseline="0"/>
        </a:p>
        <a:p>
          <a:r>
            <a:rPr lang="en-US" sz="1100" baseline="0"/>
            <a:t>- Variable with the highest p-value is the High (energy) variable at (0.326), so it should be removed </a:t>
          </a:r>
        </a:p>
        <a:p>
          <a:r>
            <a:rPr lang="en-US" sz="1100" baseline="0"/>
            <a:t>	</a:t>
          </a:r>
          <a:endParaRPr lang="en-US" sz="1100"/>
        </a:p>
      </xdr:txBody>
    </xdr:sp>
    <xdr:clientData/>
  </xdr:twoCellAnchor>
  <xdr:twoCellAnchor>
    <xdr:from>
      <xdr:col>3</xdr:col>
      <xdr:colOff>116458</xdr:colOff>
      <xdr:row>194</xdr:row>
      <xdr:rowOff>96087</xdr:rowOff>
    </xdr:from>
    <xdr:to>
      <xdr:col>5</xdr:col>
      <xdr:colOff>1216991</xdr:colOff>
      <xdr:row>201</xdr:row>
      <xdr:rowOff>123301</xdr:rowOff>
    </xdr:to>
    <xdr:sp macro="" textlink="">
      <xdr:nvSpPr>
        <xdr:cNvPr id="5" name="TextBox 5">
          <a:extLst>
            <a:ext uri="{FF2B5EF4-FFF2-40B4-BE49-F238E27FC236}">
              <a16:creationId xmlns:a16="http://schemas.microsoft.com/office/drawing/2014/main" id="{37587E6A-2920-4D0D-B07E-A4994FF478B8}"/>
            </a:ext>
          </a:extLst>
        </xdr:cNvPr>
        <xdr:cNvSpPr txBox="1"/>
      </xdr:nvSpPr>
      <xdr:spPr>
        <a:xfrm>
          <a:off x="4657307" y="39609861"/>
          <a:ext cx="3844212" cy="145296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8</a:t>
          </a:r>
          <a:r>
            <a:rPr lang="en-US" sz="1100" baseline="0"/>
            <a:t> = No High Energy Variable </a:t>
          </a:r>
        </a:p>
        <a:p>
          <a:endParaRPr lang="en-US" sz="1100" baseline="0"/>
        </a:p>
        <a:p>
          <a:r>
            <a:rPr lang="en-US" sz="1100" baseline="0"/>
            <a:t>- Song Age has highest p-value (0.199) so we should remove it for our final model 	</a:t>
          </a:r>
        </a:p>
        <a:p>
          <a:r>
            <a:rPr lang="en-US" sz="1100" baseline="0"/>
            <a:t>- This is not very surprising because the correlation between Song Age and Popularity score was very weak (r= -0.04). </a:t>
          </a:r>
          <a:endParaRPr lang="en-US" sz="1100"/>
        </a:p>
      </xdr:txBody>
    </xdr:sp>
    <xdr:clientData/>
  </xdr:twoCellAnchor>
  <xdr:twoCellAnchor>
    <xdr:from>
      <xdr:col>6</xdr:col>
      <xdr:colOff>364706</xdr:colOff>
      <xdr:row>214</xdr:row>
      <xdr:rowOff>11981</xdr:rowOff>
    </xdr:from>
    <xdr:to>
      <xdr:col>13</xdr:col>
      <xdr:colOff>587076</xdr:colOff>
      <xdr:row>230</xdr:row>
      <xdr:rowOff>23962</xdr:rowOff>
    </xdr:to>
    <xdr:sp macro="" textlink="">
      <xdr:nvSpPr>
        <xdr:cNvPr id="6" name="TextBox 5">
          <a:extLst>
            <a:ext uri="{FF2B5EF4-FFF2-40B4-BE49-F238E27FC236}">
              <a16:creationId xmlns:a16="http://schemas.microsoft.com/office/drawing/2014/main" id="{B407A276-D0A0-4527-83B7-B0F5B46E635B}"/>
            </a:ext>
          </a:extLst>
        </xdr:cNvPr>
        <xdr:cNvSpPr txBox="1"/>
      </xdr:nvSpPr>
      <xdr:spPr>
        <a:xfrm>
          <a:off x="8967159" y="43599339"/>
          <a:ext cx="7806426" cy="3270849"/>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Model 9</a:t>
          </a:r>
          <a:r>
            <a:rPr lang="en-US" sz="1100" baseline="0"/>
            <a:t> = Final Model</a:t>
          </a:r>
        </a:p>
        <a:p>
          <a:endParaRPr lang="en-US" sz="1100" baseline="0"/>
        </a:p>
        <a:p>
          <a:r>
            <a:rPr lang="en-US" sz="1100" b="0" u="sng" baseline="0"/>
            <a:t>Coefficients</a:t>
          </a:r>
          <a:r>
            <a:rPr lang="en-US" sz="1100" b="0" baseline="0"/>
            <a:t>: </a:t>
          </a:r>
        </a:p>
        <a:p>
          <a:r>
            <a:rPr lang="en-US" sz="1100" b="1"/>
            <a:t>- Intercept=</a:t>
          </a:r>
          <a:r>
            <a:rPr lang="en-US" sz="1100" b="1" baseline="0"/>
            <a:t> 56.1</a:t>
          </a:r>
          <a:r>
            <a:rPr lang="en-US" sz="1100" baseline="0"/>
            <a:t>. When there is 0 amount of pop genre in the song and the duration of the song is 0  seconds, the predicted Spotify popularity is 56. This intercept serves as a base value for Spotify popularity score, as a 0 second song cannot exist. </a:t>
          </a:r>
          <a:endParaRPr lang="en-US" sz="1100"/>
        </a:p>
        <a:p>
          <a:r>
            <a:rPr lang="en-US" sz="1100" b="1"/>
            <a:t>-Pop=</a:t>
          </a:r>
          <a:r>
            <a:rPr lang="en-US" sz="1100" b="1" baseline="0"/>
            <a:t> 17.2.</a:t>
          </a:r>
          <a:r>
            <a:rPr lang="en-US" sz="1100" baseline="0"/>
            <a:t> When pop genre increases by 1 (meaning the song is in the genre of pop), predicted Spotify popularity score increases by 17, holding duration of song constant. It makes sense that when the genre of the song is pop it will increase the Spotify popularity score because pop songs are generally liked, especially on a platform like Spotify where majority of users are middle aged or younger. </a:t>
          </a:r>
          <a:endParaRPr lang="en-US" sz="1100"/>
        </a:p>
        <a:p>
          <a:r>
            <a:rPr lang="en-US" sz="1100" b="1"/>
            <a:t>-Duration= -0.07. </a:t>
          </a:r>
          <a:r>
            <a:rPr lang="en-US" sz="1100"/>
            <a:t>For</a:t>
          </a:r>
          <a:r>
            <a:rPr lang="en-US" sz="1100" baseline="0"/>
            <a:t> each one second increase in duration of the song, predicted Spotify popularity score decreases by almost nothing (0.07 points), holding genre of pop constant. This is interesting because it nods to longer songs being slightly less popular than shorter ones. </a:t>
          </a:r>
          <a:endParaRPr lang="en-US" sz="1100"/>
        </a:p>
        <a:p>
          <a:endParaRPr lang="en-US" sz="1100"/>
        </a:p>
        <a:p>
          <a:r>
            <a:rPr lang="en-US" sz="1100" b="0" u="sng"/>
            <a:t>Model Fit: </a:t>
          </a:r>
        </a:p>
        <a:p>
          <a:r>
            <a:rPr lang="en-US" sz="1100" b="1"/>
            <a:t>-Adjusted R^2=</a:t>
          </a:r>
          <a:r>
            <a:rPr lang="en-US" sz="1100" b="1" baseline="0"/>
            <a:t> 0.16. </a:t>
          </a:r>
          <a:r>
            <a:rPr lang="en-US" sz="1100" baseline="0"/>
            <a:t>This model is not a very strong fit for the data, it doesn't do a great job at determining Spotify popularity score for songs selected from 2020. </a:t>
          </a:r>
          <a:endParaRPr lang="en-US" sz="1100"/>
        </a:p>
        <a:p>
          <a:r>
            <a:rPr lang="en-US" sz="1100" b="1"/>
            <a:t>-Significance</a:t>
          </a:r>
          <a:r>
            <a:rPr lang="en-US" sz="1100" b="1" baseline="0"/>
            <a:t> F= 7.8 x 10^7.</a:t>
          </a:r>
          <a:r>
            <a:rPr lang="en-US" sz="1100" baseline="0"/>
            <a:t> This model including Pop and Duration variables is a significantly better fit at predicting Spotify popularity scores for songs than a null model containing only a constant intercept. </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23</xdr:col>
      <xdr:colOff>346123</xdr:colOff>
      <xdr:row>2</xdr:row>
      <xdr:rowOff>47625</xdr:rowOff>
    </xdr:from>
    <xdr:to>
      <xdr:col>32</xdr:col>
      <xdr:colOff>698499</xdr:colOff>
      <xdr:row>19</xdr:row>
      <xdr:rowOff>38774</xdr:rowOff>
    </xdr:to>
    <mc:AlternateContent xmlns:mc="http://schemas.openxmlformats.org/markup-compatibility/2006">
      <mc:Choice xmlns:cx1="http://schemas.microsoft.com/office/drawing/2015/9/8/chartex" Requires="cx1">
        <xdr:graphicFrame macro="">
          <xdr:nvGraphicFramePr>
            <xdr:cNvPr id="31" name="Chart 1">
              <a:extLst>
                <a:ext uri="{FF2B5EF4-FFF2-40B4-BE49-F238E27FC236}">
                  <a16:creationId xmlns:a16="http://schemas.microsoft.com/office/drawing/2014/main" id="{D1040AC6-E6F6-E0AB-B36B-3B649A48AB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681873" y="454025"/>
              <a:ext cx="5686376" cy="3451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49.868298379632" createdVersion="8" refreshedVersion="8" minRefreshableVersion="3" recordCount="149" xr:uid="{2692BB71-A643-D34F-B40B-85367C5AC66B}">
  <cacheSource type="worksheet">
    <worksheetSource ref="A1:H150" sheet="Cleansed Data"/>
  </cacheSource>
  <cacheFields count="8">
    <cacheField name="Genre" numFmtId="0">
      <sharedItems count="6">
        <s v="pop"/>
        <s v="latin"/>
        <s v="edm"/>
        <s v="rock"/>
        <s v="r&amp;b"/>
        <s v="rap"/>
      </sharedItems>
    </cacheField>
    <cacheField name="Song Age" numFmtId="1">
      <sharedItems containsSemiMixedTypes="0" containsString="0" containsNumber="1" containsInteger="1" minValue="0" maxValue="53"/>
    </cacheField>
    <cacheField name="Popularity" numFmtId="1">
      <sharedItems containsSemiMixedTypes="0" containsString="0" containsNumber="1" containsInteger="1" minValue="1" maxValue="81"/>
    </cacheField>
    <cacheField name="Danceability" numFmtId="2">
      <sharedItems containsSemiMixedTypes="0" containsString="0" containsNumber="1" minValue="0.16200000000000001" maxValue="0.94799999999999995"/>
    </cacheField>
    <cacheField name="Acousticness" numFmtId="2">
      <sharedItems containsSemiMixedTypes="0" containsString="0" containsNumber="1" minValue="4.6499999999999999E-5" maxValue="0.872"/>
    </cacheField>
    <cacheField name="Energy" numFmtId="2">
      <sharedItems count="2">
        <s v="High"/>
        <s v="Low"/>
      </sharedItems>
    </cacheField>
    <cacheField name="Tempo" numFmtId="1">
      <sharedItems containsSemiMixedTypes="0" containsString="0" containsNumber="1" containsInteger="1" minValue="78" maxValue="180"/>
    </cacheField>
    <cacheField name="Duration" numFmtId="1">
      <sharedItems containsSemiMixedTypes="0" containsString="0" containsNumber="1" containsInteger="1" minValue="109" maxValue="5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n v="1"/>
    <n v="54"/>
    <n v="0.75800000000000001"/>
    <n v="0.11600000000000001"/>
    <x v="0"/>
    <n v="93"/>
    <n v="177"/>
  </r>
  <r>
    <x v="0"/>
    <n v="9"/>
    <n v="74"/>
    <n v="0.50700000000000001"/>
    <n v="1.8200000000000001E-2"/>
    <x v="0"/>
    <n v="105"/>
    <n v="244"/>
  </r>
  <r>
    <x v="1"/>
    <n v="2"/>
    <n v="47"/>
    <n v="0.71199999999999997"/>
    <n v="0.30599999999999999"/>
    <x v="0"/>
    <n v="150"/>
    <n v="224"/>
  </r>
  <r>
    <x v="2"/>
    <n v="1"/>
    <n v="44"/>
    <n v="0.51800000000000002"/>
    <n v="2.2599999999999999E-2"/>
    <x v="0"/>
    <n v="128"/>
    <n v="234"/>
  </r>
  <r>
    <x v="1"/>
    <n v="1"/>
    <n v="61"/>
    <n v="0.73399999999999999"/>
    <n v="8.1399999999999997E-3"/>
    <x v="0"/>
    <n v="83"/>
    <n v="177"/>
  </r>
  <r>
    <x v="3"/>
    <n v="45"/>
    <n v="10"/>
    <n v="0.65600000000000003"/>
    <n v="4.5999999999999999E-2"/>
    <x v="0"/>
    <n v="145"/>
    <n v="169"/>
  </r>
  <r>
    <x v="3"/>
    <n v="13"/>
    <n v="1"/>
    <n v="0.498"/>
    <n v="0.32"/>
    <x v="0"/>
    <n v="101"/>
    <n v="170"/>
  </r>
  <r>
    <x v="4"/>
    <n v="3"/>
    <n v="30"/>
    <n v="0.62"/>
    <n v="0.29699999999999999"/>
    <x v="1"/>
    <n v="87"/>
    <n v="220"/>
  </r>
  <r>
    <x v="0"/>
    <n v="1"/>
    <n v="31"/>
    <n v="0.64600000000000002"/>
    <n v="5.21E-2"/>
    <x v="0"/>
    <n v="112"/>
    <n v="234"/>
  </r>
  <r>
    <x v="3"/>
    <n v="44"/>
    <n v="77"/>
    <n v="0.754"/>
    <n v="0.153"/>
    <x v="0"/>
    <n v="126"/>
    <n v="215"/>
  </r>
  <r>
    <x v="3"/>
    <n v="16"/>
    <n v="4"/>
    <n v="0.28000000000000003"/>
    <n v="2.3199999999999998E-2"/>
    <x v="0"/>
    <n v="100"/>
    <n v="406"/>
  </r>
  <r>
    <x v="3"/>
    <n v="32"/>
    <n v="14"/>
    <n v="0.44400000000000001"/>
    <n v="1.1199999999999999E-3"/>
    <x v="0"/>
    <n v="106"/>
    <n v="447"/>
  </r>
  <r>
    <x v="4"/>
    <n v="4"/>
    <n v="2"/>
    <n v="0.55000000000000004"/>
    <n v="9.5700000000000004E-3"/>
    <x v="1"/>
    <n v="118"/>
    <n v="379"/>
  </r>
  <r>
    <x v="0"/>
    <n v="5"/>
    <n v="53"/>
    <n v="0.72199999999999998"/>
    <n v="1.0200000000000001E-2"/>
    <x v="0"/>
    <n v="122"/>
    <n v="236"/>
  </r>
  <r>
    <x v="0"/>
    <n v="3"/>
    <n v="79"/>
    <n v="0.69"/>
    <n v="0.253"/>
    <x v="0"/>
    <n v="102"/>
    <n v="210"/>
  </r>
  <r>
    <x v="5"/>
    <n v="10"/>
    <n v="28"/>
    <n v="0.38700000000000001"/>
    <n v="4.1599999999999998E-2"/>
    <x v="0"/>
    <n v="79"/>
    <n v="318"/>
  </r>
  <r>
    <x v="1"/>
    <n v="15"/>
    <n v="52"/>
    <n v="0.70299999999999996"/>
    <n v="0.53500000000000003"/>
    <x v="0"/>
    <n v="93"/>
    <n v="267"/>
  </r>
  <r>
    <x v="1"/>
    <n v="1"/>
    <n v="32"/>
    <n v="0.65100000000000002"/>
    <n v="0.19400000000000001"/>
    <x v="0"/>
    <n v="162"/>
    <n v="236"/>
  </r>
  <r>
    <x v="1"/>
    <n v="4"/>
    <n v="37"/>
    <n v="0.66700000000000004"/>
    <n v="0.13200000000000001"/>
    <x v="0"/>
    <n v="174"/>
    <n v="191"/>
  </r>
  <r>
    <x v="0"/>
    <n v="0"/>
    <n v="37"/>
    <n v="0.65200000000000002"/>
    <n v="0.56200000000000006"/>
    <x v="1"/>
    <n v="132"/>
    <n v="213"/>
  </r>
  <r>
    <x v="3"/>
    <n v="35"/>
    <n v="29"/>
    <n v="0.64200000000000002"/>
    <n v="0.60699999999999998"/>
    <x v="0"/>
    <n v="127"/>
    <n v="220"/>
  </r>
  <r>
    <x v="3"/>
    <n v="30"/>
    <n v="59"/>
    <n v="0.27300000000000002"/>
    <n v="2.41E-2"/>
    <x v="0"/>
    <n v="82"/>
    <n v="287"/>
  </r>
  <r>
    <x v="2"/>
    <n v="1"/>
    <n v="63"/>
    <n v="0.57099999999999995"/>
    <n v="1.14E-2"/>
    <x v="0"/>
    <n v="150"/>
    <n v="253"/>
  </r>
  <r>
    <x v="3"/>
    <n v="38"/>
    <n v="33"/>
    <n v="0.54100000000000004"/>
    <n v="4.7500000000000001E-2"/>
    <x v="0"/>
    <n v="140"/>
    <n v="341"/>
  </r>
  <r>
    <x v="5"/>
    <n v="2"/>
    <n v="28"/>
    <n v="0.74"/>
    <n v="0.129"/>
    <x v="0"/>
    <n v="85"/>
    <n v="295"/>
  </r>
  <r>
    <x v="3"/>
    <n v="1"/>
    <n v="41"/>
    <n v="0.495"/>
    <n v="7.3000000000000001E-3"/>
    <x v="0"/>
    <n v="92"/>
    <n v="203"/>
  </r>
  <r>
    <x v="2"/>
    <n v="1"/>
    <n v="47"/>
    <n v="0.59799999999999998"/>
    <n v="9.3800000000000003E-5"/>
    <x v="0"/>
    <n v="140"/>
    <n v="174"/>
  </r>
  <r>
    <x v="3"/>
    <n v="24"/>
    <n v="3"/>
    <n v="0.55200000000000005"/>
    <n v="0.38300000000000001"/>
    <x v="0"/>
    <n v="128"/>
    <n v="346"/>
  </r>
  <r>
    <x v="2"/>
    <n v="1"/>
    <n v="30"/>
    <n v="0.71199999999999997"/>
    <n v="3.7399999999999998E-3"/>
    <x v="0"/>
    <n v="126"/>
    <n v="166"/>
  </r>
  <r>
    <x v="0"/>
    <n v="8"/>
    <n v="63"/>
    <n v="0.51400000000000001"/>
    <n v="0.20799999999999999"/>
    <x v="0"/>
    <n v="95"/>
    <n v="234"/>
  </r>
  <r>
    <x v="5"/>
    <n v="1"/>
    <n v="50"/>
    <n v="0.72299999999999998"/>
    <n v="8.1899999999999994E-3"/>
    <x v="0"/>
    <n v="168"/>
    <n v="151"/>
  </r>
  <r>
    <x v="2"/>
    <n v="1"/>
    <n v="37"/>
    <n v="0.57799999999999996"/>
    <n v="3.48E-3"/>
    <x v="0"/>
    <n v="120"/>
    <n v="227"/>
  </r>
  <r>
    <x v="5"/>
    <n v="1"/>
    <n v="53"/>
    <n v="0.93500000000000005"/>
    <n v="0.315"/>
    <x v="0"/>
    <n v="128"/>
    <n v="143"/>
  </r>
  <r>
    <x v="5"/>
    <n v="19"/>
    <n v="52"/>
    <n v="0.94799999999999995"/>
    <n v="9.2400000000000002E-4"/>
    <x v="0"/>
    <n v="100"/>
    <n v="259"/>
  </r>
  <r>
    <x v="1"/>
    <n v="1"/>
    <n v="16"/>
    <n v="0.69099999999999995"/>
    <n v="0.32200000000000001"/>
    <x v="0"/>
    <n v="154"/>
    <n v="218"/>
  </r>
  <r>
    <x v="4"/>
    <n v="1"/>
    <n v="20"/>
    <n v="0.58899999999999997"/>
    <n v="0.24299999999999999"/>
    <x v="0"/>
    <n v="97"/>
    <n v="292"/>
  </r>
  <r>
    <x v="4"/>
    <n v="50"/>
    <n v="59"/>
    <n v="0.48399999999999999"/>
    <n v="0.79500000000000004"/>
    <x v="0"/>
    <n v="141"/>
    <n v="201"/>
  </r>
  <r>
    <x v="4"/>
    <n v="6"/>
    <n v="41"/>
    <n v="0.54300000000000004"/>
    <n v="6.6299999999999996E-4"/>
    <x v="0"/>
    <n v="174"/>
    <n v="293"/>
  </r>
  <r>
    <x v="0"/>
    <n v="0"/>
    <n v="51"/>
    <n v="0.61399999999999999"/>
    <n v="0.45100000000000001"/>
    <x v="0"/>
    <n v="117"/>
    <n v="207"/>
  </r>
  <r>
    <x v="5"/>
    <n v="1"/>
    <n v="7"/>
    <n v="0.86899999999999999"/>
    <n v="3.7400000000000003E-2"/>
    <x v="1"/>
    <n v="92"/>
    <n v="162"/>
  </r>
  <r>
    <x v="3"/>
    <n v="16"/>
    <n v="44"/>
    <n v="0.434"/>
    <n v="6.2200000000000005E-4"/>
    <x v="0"/>
    <n v="170"/>
    <n v="204"/>
  </r>
  <r>
    <x v="4"/>
    <n v="4"/>
    <n v="54"/>
    <n v="0.67600000000000005"/>
    <n v="3.6200000000000002E-4"/>
    <x v="0"/>
    <n v="130"/>
    <n v="214"/>
  </r>
  <r>
    <x v="5"/>
    <n v="21"/>
    <n v="5"/>
    <n v="0.70499999999999996"/>
    <n v="1.37E-2"/>
    <x v="0"/>
    <n v="170"/>
    <n v="234"/>
  </r>
  <r>
    <x v="5"/>
    <n v="3"/>
    <n v="41"/>
    <n v="0.64400000000000002"/>
    <n v="3.29E-3"/>
    <x v="0"/>
    <n v="109"/>
    <n v="125"/>
  </r>
  <r>
    <x v="5"/>
    <n v="19"/>
    <n v="3"/>
    <n v="0.28599999999999998"/>
    <n v="4.6499999999999999E-5"/>
    <x v="0"/>
    <n v="87"/>
    <n v="364"/>
  </r>
  <r>
    <x v="2"/>
    <n v="6"/>
    <n v="37"/>
    <n v="0.72599999999999998"/>
    <n v="2.1600000000000001E-2"/>
    <x v="0"/>
    <n v="128"/>
    <n v="214"/>
  </r>
  <r>
    <x v="2"/>
    <n v="0"/>
    <n v="54"/>
    <n v="0.52100000000000002"/>
    <n v="2.47E-3"/>
    <x v="0"/>
    <n v="126"/>
    <n v="220"/>
  </r>
  <r>
    <x v="3"/>
    <n v="3"/>
    <n v="10"/>
    <n v="0.28999999999999998"/>
    <n v="1.2800000000000001E-3"/>
    <x v="1"/>
    <n v="90"/>
    <n v="300"/>
  </r>
  <r>
    <x v="2"/>
    <n v="1"/>
    <n v="41"/>
    <n v="0.58099999999999996"/>
    <n v="7.4700000000000003E-2"/>
    <x v="0"/>
    <n v="142"/>
    <n v="226"/>
  </r>
  <r>
    <x v="3"/>
    <n v="1"/>
    <n v="29"/>
    <n v="0.16200000000000001"/>
    <n v="8.2600000000000002E-5"/>
    <x v="0"/>
    <n v="180"/>
    <n v="318"/>
  </r>
  <r>
    <x v="0"/>
    <n v="15"/>
    <n v="80"/>
    <n v="0.65700000000000003"/>
    <n v="0.872"/>
    <x v="1"/>
    <n v="104"/>
    <n v="233"/>
  </r>
  <r>
    <x v="0"/>
    <n v="1"/>
    <n v="60"/>
    <n v="0.623"/>
    <n v="0.32400000000000001"/>
    <x v="0"/>
    <n v="91"/>
    <n v="205"/>
  </r>
  <r>
    <x v="2"/>
    <n v="4"/>
    <n v="17"/>
    <n v="0.503"/>
    <n v="0.109"/>
    <x v="0"/>
    <n v="95"/>
    <n v="273"/>
  </r>
  <r>
    <x v="3"/>
    <n v="1"/>
    <n v="36"/>
    <n v="0.59299999999999997"/>
    <n v="0.628"/>
    <x v="1"/>
    <n v="167"/>
    <n v="203"/>
  </r>
  <r>
    <x v="0"/>
    <n v="0"/>
    <n v="62"/>
    <n v="0.92600000000000005"/>
    <n v="0.37"/>
    <x v="1"/>
    <n v="128"/>
    <n v="167"/>
  </r>
  <r>
    <x v="5"/>
    <n v="2"/>
    <n v="47"/>
    <n v="0.91400000000000003"/>
    <n v="0.30299999999999999"/>
    <x v="1"/>
    <n v="88"/>
    <n v="109"/>
  </r>
  <r>
    <x v="4"/>
    <n v="1"/>
    <n v="18"/>
    <n v="0.80500000000000005"/>
    <n v="0.28100000000000003"/>
    <x v="0"/>
    <n v="108"/>
    <n v="172"/>
  </r>
  <r>
    <x v="1"/>
    <n v="1"/>
    <n v="53"/>
    <n v="0.84599999999999997"/>
    <n v="0.56699999999999995"/>
    <x v="0"/>
    <n v="103"/>
    <n v="197"/>
  </r>
  <r>
    <x v="4"/>
    <n v="3"/>
    <n v="52"/>
    <n v="0.436"/>
    <n v="9.1400000000000006E-3"/>
    <x v="0"/>
    <n v="94"/>
    <n v="506"/>
  </r>
  <r>
    <x v="0"/>
    <n v="4"/>
    <n v="59"/>
    <n v="0.34200000000000003"/>
    <n v="0.185"/>
    <x v="0"/>
    <n v="83"/>
    <n v="262"/>
  </r>
  <r>
    <x v="0"/>
    <n v="5"/>
    <n v="66"/>
    <n v="0.68500000000000005"/>
    <n v="0.437"/>
    <x v="0"/>
    <n v="128"/>
    <n v="230"/>
  </r>
  <r>
    <x v="5"/>
    <n v="2"/>
    <n v="46"/>
    <n v="0.71899999999999997"/>
    <n v="0.37"/>
    <x v="0"/>
    <n v="84"/>
    <n v="134"/>
  </r>
  <r>
    <x v="1"/>
    <n v="4"/>
    <n v="63"/>
    <n v="0.77500000000000002"/>
    <n v="5.67E-2"/>
    <x v="0"/>
    <n v="93"/>
    <n v="196"/>
  </r>
  <r>
    <x v="1"/>
    <n v="18"/>
    <n v="67"/>
    <n v="0.48599999999999999"/>
    <n v="0.29199999999999998"/>
    <x v="0"/>
    <n v="84"/>
    <n v="238"/>
  </r>
  <r>
    <x v="3"/>
    <n v="32"/>
    <n v="63"/>
    <n v="0.52900000000000003"/>
    <n v="1.2600000000000001E-3"/>
    <x v="0"/>
    <n v="142"/>
    <n v="236"/>
  </r>
  <r>
    <x v="2"/>
    <n v="4"/>
    <n v="5"/>
    <n v="0.83199999999999996"/>
    <n v="9.9699999999999997E-3"/>
    <x v="0"/>
    <n v="118"/>
    <n v="257"/>
  </r>
  <r>
    <x v="1"/>
    <n v="3"/>
    <n v="58"/>
    <n v="0.85"/>
    <n v="0.23100000000000001"/>
    <x v="0"/>
    <n v="148"/>
    <n v="221"/>
  </r>
  <r>
    <x v="4"/>
    <n v="30"/>
    <n v="2"/>
    <n v="0.73599999999999999"/>
    <n v="6.6E-3"/>
    <x v="1"/>
    <n v="107"/>
    <n v="282"/>
  </r>
  <r>
    <x v="2"/>
    <n v="4"/>
    <n v="61"/>
    <n v="0.75800000000000001"/>
    <n v="0.35699999999999998"/>
    <x v="1"/>
    <n v="120"/>
    <n v="292"/>
  </r>
  <r>
    <x v="5"/>
    <n v="27"/>
    <n v="72"/>
    <n v="0.54900000000000004"/>
    <n v="2.8500000000000001E-2"/>
    <x v="0"/>
    <n v="95"/>
    <n v="211"/>
  </r>
  <r>
    <x v="0"/>
    <n v="1"/>
    <n v="77"/>
    <n v="0.53200000000000003"/>
    <n v="0.105"/>
    <x v="0"/>
    <n v="130"/>
    <n v="189"/>
  </r>
  <r>
    <x v="1"/>
    <n v="34"/>
    <n v="38"/>
    <n v="0.69099999999999995"/>
    <n v="1.9300000000000001E-2"/>
    <x v="0"/>
    <n v="109"/>
    <n v="266"/>
  </r>
  <r>
    <x v="2"/>
    <n v="1"/>
    <n v="33"/>
    <n v="0.68799999999999994"/>
    <n v="0.83899999999999997"/>
    <x v="1"/>
    <n v="116"/>
    <n v="228"/>
  </r>
  <r>
    <x v="1"/>
    <n v="4"/>
    <n v="9"/>
    <n v="0.64500000000000002"/>
    <n v="0.28999999999999998"/>
    <x v="0"/>
    <n v="105"/>
    <n v="205"/>
  </r>
  <r>
    <x v="3"/>
    <n v="16"/>
    <n v="31"/>
    <n v="0.45600000000000002"/>
    <n v="0.252"/>
    <x v="0"/>
    <n v="95"/>
    <n v="263"/>
  </r>
  <r>
    <x v="0"/>
    <n v="4"/>
    <n v="13"/>
    <n v="0.80300000000000005"/>
    <n v="0.10199999999999999"/>
    <x v="0"/>
    <n v="105"/>
    <n v="217"/>
  </r>
  <r>
    <x v="3"/>
    <n v="48"/>
    <n v="6"/>
    <n v="0.27600000000000002"/>
    <n v="0.79500000000000004"/>
    <x v="1"/>
    <n v="84"/>
    <n v="293"/>
  </r>
  <r>
    <x v="0"/>
    <n v="1"/>
    <n v="62"/>
    <n v="0.57699999999999996"/>
    <n v="4.9099999999999998E-2"/>
    <x v="0"/>
    <n v="79"/>
    <n v="198"/>
  </r>
  <r>
    <x v="0"/>
    <n v="2"/>
    <n v="38"/>
    <n v="0.376"/>
    <n v="0.39700000000000002"/>
    <x v="0"/>
    <n v="95"/>
    <n v="211"/>
  </r>
  <r>
    <x v="2"/>
    <n v="6"/>
    <n v="51"/>
    <n v="0.65200000000000002"/>
    <n v="2.0899999999999998E-3"/>
    <x v="0"/>
    <n v="128"/>
    <n v="313"/>
  </r>
  <r>
    <x v="2"/>
    <n v="7"/>
    <n v="18"/>
    <n v="0.41599999999999998"/>
    <n v="6.3200000000000006E-2"/>
    <x v="0"/>
    <n v="128"/>
    <n v="258"/>
  </r>
  <r>
    <x v="3"/>
    <n v="48"/>
    <n v="61"/>
    <n v="0.45800000000000002"/>
    <n v="0.442"/>
    <x v="0"/>
    <n v="122"/>
    <n v="221"/>
  </r>
  <r>
    <x v="4"/>
    <n v="1"/>
    <n v="12"/>
    <n v="0.66500000000000004"/>
    <n v="0.66500000000000004"/>
    <x v="1"/>
    <n v="78"/>
    <n v="185"/>
  </r>
  <r>
    <x v="2"/>
    <n v="1"/>
    <n v="43"/>
    <n v="0.79700000000000004"/>
    <n v="7.6999999999999999E-2"/>
    <x v="0"/>
    <n v="124"/>
    <n v="182"/>
  </r>
  <r>
    <x v="3"/>
    <n v="14"/>
    <n v="54"/>
    <n v="0.50900000000000001"/>
    <n v="1.89E-3"/>
    <x v="0"/>
    <n v="117"/>
    <n v="265"/>
  </r>
  <r>
    <x v="4"/>
    <n v="3"/>
    <n v="56"/>
    <n v="0.55100000000000005"/>
    <n v="0.68100000000000005"/>
    <x v="1"/>
    <n v="84"/>
    <n v="243"/>
  </r>
  <r>
    <x v="2"/>
    <n v="1"/>
    <n v="12"/>
    <n v="0.73899999999999999"/>
    <n v="1.4800000000000001E-2"/>
    <x v="0"/>
    <n v="125"/>
    <n v="143"/>
  </r>
  <r>
    <x v="0"/>
    <n v="1"/>
    <n v="50"/>
    <n v="0.54200000000000004"/>
    <n v="1.84E-4"/>
    <x v="0"/>
    <n v="156"/>
    <n v="178"/>
  </r>
  <r>
    <x v="1"/>
    <n v="15"/>
    <n v="43"/>
    <n v="0.375"/>
    <n v="0.39800000000000002"/>
    <x v="0"/>
    <n v="112"/>
    <n v="271"/>
  </r>
  <r>
    <x v="4"/>
    <n v="1"/>
    <n v="29"/>
    <n v="0.73299999999999998"/>
    <n v="4.1000000000000002E-2"/>
    <x v="0"/>
    <n v="140"/>
    <n v="192"/>
  </r>
  <r>
    <x v="5"/>
    <n v="12"/>
    <n v="55"/>
    <n v="0.88700000000000001"/>
    <n v="9.3299999999999998E-3"/>
    <x v="0"/>
    <n v="113"/>
    <n v="183"/>
  </r>
  <r>
    <x v="1"/>
    <n v="3"/>
    <n v="69"/>
    <n v="0.57499999999999996"/>
    <n v="9.8799999999999999E-2"/>
    <x v="1"/>
    <n v="96"/>
    <n v="204"/>
  </r>
  <r>
    <x v="1"/>
    <n v="13"/>
    <n v="63"/>
    <n v="0.75800000000000001"/>
    <n v="5.28E-2"/>
    <x v="0"/>
    <n v="98"/>
    <n v="171"/>
  </r>
  <r>
    <x v="3"/>
    <n v="38"/>
    <n v="60"/>
    <n v="0.73899999999999999"/>
    <n v="0.112"/>
    <x v="0"/>
    <n v="121"/>
    <n v="209"/>
  </r>
  <r>
    <x v="3"/>
    <n v="8"/>
    <n v="21"/>
    <n v="0.39700000000000002"/>
    <n v="0.218"/>
    <x v="1"/>
    <n v="162"/>
    <n v="348"/>
  </r>
  <r>
    <x v="2"/>
    <n v="1"/>
    <n v="31"/>
    <n v="0.78600000000000003"/>
    <n v="7.2400000000000006E-2"/>
    <x v="0"/>
    <n v="128"/>
    <n v="158"/>
  </r>
  <r>
    <x v="3"/>
    <n v="42"/>
    <n v="45"/>
    <n v="0.51700000000000002"/>
    <n v="0.115"/>
    <x v="0"/>
    <n v="151"/>
    <n v="221"/>
  </r>
  <r>
    <x v="3"/>
    <n v="33"/>
    <n v="42"/>
    <n v="0.56499999999999995"/>
    <n v="4.41E-2"/>
    <x v="0"/>
    <n v="112"/>
    <n v="233"/>
  </r>
  <r>
    <x v="0"/>
    <n v="2"/>
    <n v="78"/>
    <n v="0.90600000000000003"/>
    <n v="0.18"/>
    <x v="1"/>
    <n v="104"/>
    <n v="129"/>
  </r>
  <r>
    <x v="5"/>
    <n v="1"/>
    <n v="55"/>
    <n v="0.59799999999999998"/>
    <n v="6.5500000000000003E-2"/>
    <x v="0"/>
    <n v="114"/>
    <n v="230"/>
  </r>
  <r>
    <x v="0"/>
    <n v="5"/>
    <n v="19"/>
    <n v="0.63900000000000001"/>
    <n v="6.3200000000000006E-2"/>
    <x v="0"/>
    <n v="123"/>
    <n v="235"/>
  </r>
  <r>
    <x v="2"/>
    <n v="1"/>
    <n v="8"/>
    <n v="0.80100000000000005"/>
    <n v="9.2600000000000001E-5"/>
    <x v="0"/>
    <n v="120"/>
    <n v="260"/>
  </r>
  <r>
    <x v="3"/>
    <n v="43"/>
    <n v="57"/>
    <n v="0.65100000000000002"/>
    <n v="0.16700000000000001"/>
    <x v="0"/>
    <n v="97"/>
    <n v="226"/>
  </r>
  <r>
    <x v="1"/>
    <n v="2"/>
    <n v="50"/>
    <n v="0.748"/>
    <n v="0.21099999999999999"/>
    <x v="1"/>
    <n v="80"/>
    <n v="158"/>
  </r>
  <r>
    <x v="1"/>
    <n v="1"/>
    <n v="43"/>
    <n v="0.77100000000000002"/>
    <n v="0.26"/>
    <x v="1"/>
    <n v="170"/>
    <n v="242"/>
  </r>
  <r>
    <x v="4"/>
    <n v="6"/>
    <n v="26"/>
    <n v="0.41499999999999998"/>
    <n v="8.3600000000000005E-4"/>
    <x v="0"/>
    <n v="136"/>
    <n v="256"/>
  </r>
  <r>
    <x v="4"/>
    <n v="33"/>
    <n v="49"/>
    <n v="0.54300000000000004"/>
    <n v="2.5899999999999999E-2"/>
    <x v="0"/>
    <n v="170"/>
    <n v="258"/>
  </r>
  <r>
    <x v="3"/>
    <n v="53"/>
    <n v="11"/>
    <n v="0.505"/>
    <n v="8.9700000000000002E-2"/>
    <x v="1"/>
    <n v="106"/>
    <n v="176"/>
  </r>
  <r>
    <x v="3"/>
    <n v="24"/>
    <n v="38"/>
    <n v="0.39400000000000002"/>
    <n v="0.33900000000000002"/>
    <x v="1"/>
    <n v="178"/>
    <n v="384"/>
  </r>
  <r>
    <x v="2"/>
    <n v="5"/>
    <n v="6"/>
    <n v="0.5"/>
    <n v="3.6200000000000003E-2"/>
    <x v="0"/>
    <n v="126"/>
    <n v="210"/>
  </r>
  <r>
    <x v="4"/>
    <n v="17"/>
    <n v="27"/>
    <n v="0.752"/>
    <n v="2.2800000000000001E-2"/>
    <x v="0"/>
    <n v="106"/>
    <n v="245"/>
  </r>
  <r>
    <x v="0"/>
    <n v="13"/>
    <n v="72"/>
    <n v="0.44700000000000001"/>
    <n v="2.93E-2"/>
    <x v="0"/>
    <n v="176"/>
    <n v="228"/>
  </r>
  <r>
    <x v="3"/>
    <n v="40"/>
    <n v="53"/>
    <n v="0.63300000000000001"/>
    <n v="0.34"/>
    <x v="0"/>
    <n v="81"/>
    <n v="355"/>
  </r>
  <r>
    <x v="0"/>
    <n v="1"/>
    <n v="81"/>
    <n v="0.56100000000000005"/>
    <n v="0.106"/>
    <x v="0"/>
    <n v="160"/>
    <n v="219"/>
  </r>
  <r>
    <x v="2"/>
    <n v="1"/>
    <n v="50"/>
    <n v="0.44800000000000001"/>
    <n v="1.72E-3"/>
    <x v="0"/>
    <n v="128"/>
    <n v="218"/>
  </r>
  <r>
    <x v="4"/>
    <n v="6"/>
    <n v="52"/>
    <n v="0.83"/>
    <n v="0.188"/>
    <x v="0"/>
    <n v="90"/>
    <n v="215"/>
  </r>
  <r>
    <x v="5"/>
    <n v="2"/>
    <n v="44"/>
    <n v="0.46800000000000003"/>
    <n v="0.21"/>
    <x v="0"/>
    <n v="133"/>
    <n v="168"/>
  </r>
  <r>
    <x v="2"/>
    <n v="6"/>
    <n v="34"/>
    <n v="0.53600000000000003"/>
    <n v="1.6899999999999999E-4"/>
    <x v="0"/>
    <n v="128"/>
    <n v="306"/>
  </r>
  <r>
    <x v="3"/>
    <n v="16"/>
    <n v="68"/>
    <n v="0.42099999999999999"/>
    <n v="1.34E-2"/>
    <x v="0"/>
    <n v="173"/>
    <n v="207"/>
  </r>
  <r>
    <x v="0"/>
    <n v="2"/>
    <n v="43"/>
    <n v="0.72199999999999998"/>
    <n v="6.6199999999999995E-2"/>
    <x v="0"/>
    <n v="110"/>
    <n v="195"/>
  </r>
  <r>
    <x v="2"/>
    <n v="1"/>
    <n v="77"/>
    <n v="0.36"/>
    <n v="1.7100000000000001E-2"/>
    <x v="0"/>
    <n v="107"/>
    <n v="186"/>
  </r>
  <r>
    <x v="4"/>
    <n v="18"/>
    <n v="46"/>
    <n v="0.69099999999999995"/>
    <n v="0.28399999999999997"/>
    <x v="1"/>
    <n v="96"/>
    <n v="210"/>
  </r>
  <r>
    <x v="5"/>
    <n v="1"/>
    <n v="56"/>
    <n v="0.77500000000000002"/>
    <n v="0.35499999999999998"/>
    <x v="1"/>
    <n v="128"/>
    <n v="169"/>
  </r>
  <r>
    <x v="2"/>
    <n v="3"/>
    <n v="12"/>
    <n v="0.41399999999999998"/>
    <n v="1.1599999999999999E-2"/>
    <x v="0"/>
    <n v="117"/>
    <n v="195"/>
  </r>
  <r>
    <x v="5"/>
    <n v="17"/>
    <n v="44"/>
    <n v="0.81899999999999995"/>
    <n v="1.66E-3"/>
    <x v="0"/>
    <n v="78"/>
    <n v="237"/>
  </r>
  <r>
    <x v="5"/>
    <n v="21"/>
    <n v="18"/>
    <n v="0.81399999999999995"/>
    <n v="0.17499999999999999"/>
    <x v="0"/>
    <n v="93"/>
    <n v="268"/>
  </r>
  <r>
    <x v="2"/>
    <n v="1"/>
    <n v="23"/>
    <n v="0.71199999999999997"/>
    <n v="1.2200000000000001E-2"/>
    <x v="0"/>
    <n v="105"/>
    <n v="202"/>
  </r>
  <r>
    <x v="2"/>
    <n v="3"/>
    <n v="50"/>
    <n v="0.64200000000000002"/>
    <n v="2.6100000000000002E-2"/>
    <x v="0"/>
    <n v="96"/>
    <n v="215"/>
  </r>
  <r>
    <x v="1"/>
    <n v="2"/>
    <n v="8"/>
    <n v="0.755"/>
    <n v="5.0299999999999997E-3"/>
    <x v="0"/>
    <n v="123"/>
    <n v="315"/>
  </r>
  <r>
    <x v="2"/>
    <n v="1"/>
    <n v="39"/>
    <n v="0.71299999999999997"/>
    <n v="3.7599999999999999E-3"/>
    <x v="0"/>
    <n v="127"/>
    <n v="189"/>
  </r>
  <r>
    <x v="0"/>
    <n v="10"/>
    <n v="54"/>
    <n v="0.68100000000000005"/>
    <n v="3.3400000000000001E-3"/>
    <x v="0"/>
    <n v="118"/>
    <n v="316"/>
  </r>
  <r>
    <x v="0"/>
    <n v="3"/>
    <n v="76"/>
    <n v="0.69599999999999995"/>
    <n v="7.4999999999999997E-2"/>
    <x v="0"/>
    <n v="98"/>
    <n v="216"/>
  </r>
  <r>
    <x v="3"/>
    <n v="26"/>
    <n v="50"/>
    <n v="0.40899999999999997"/>
    <n v="4.28E-3"/>
    <x v="0"/>
    <n v="174"/>
    <n v="224"/>
  </r>
  <r>
    <x v="3"/>
    <n v="6"/>
    <n v="44"/>
    <n v="0.56899999999999995"/>
    <n v="0.16600000000000001"/>
    <x v="1"/>
    <n v="105"/>
    <n v="227"/>
  </r>
  <r>
    <x v="0"/>
    <n v="8"/>
    <n v="65"/>
    <n v="0.70099999999999996"/>
    <n v="8.8800000000000004E-2"/>
    <x v="1"/>
    <n v="95"/>
    <n v="195"/>
  </r>
  <r>
    <x v="0"/>
    <n v="9"/>
    <n v="55"/>
    <n v="0.56999999999999995"/>
    <n v="1.04E-2"/>
    <x v="0"/>
    <n v="115"/>
    <n v="215"/>
  </r>
  <r>
    <x v="2"/>
    <n v="7"/>
    <n v="39"/>
    <n v="0.77400000000000002"/>
    <n v="1.15E-2"/>
    <x v="0"/>
    <n v="128"/>
    <n v="182"/>
  </r>
  <r>
    <x v="4"/>
    <n v="5"/>
    <n v="52"/>
    <n v="0.77700000000000002"/>
    <n v="0.17699999999999999"/>
    <x v="0"/>
    <n v="128"/>
    <n v="189"/>
  </r>
  <r>
    <x v="2"/>
    <n v="1"/>
    <n v="69"/>
    <n v="0.82"/>
    <n v="8.5800000000000001E-2"/>
    <x v="0"/>
    <n v="120"/>
    <n v="202"/>
  </r>
  <r>
    <x v="3"/>
    <n v="19"/>
    <n v="51"/>
    <n v="0.44700000000000001"/>
    <n v="4.8300000000000003E-2"/>
    <x v="0"/>
    <n v="133"/>
    <n v="319"/>
  </r>
  <r>
    <x v="2"/>
    <n v="8"/>
    <n v="47"/>
    <n v="0.88700000000000001"/>
    <n v="1.3300000000000001E-4"/>
    <x v="0"/>
    <n v="127"/>
    <n v="194"/>
  </r>
  <r>
    <x v="4"/>
    <n v="3"/>
    <n v="64"/>
    <n v="0.73399999999999999"/>
    <n v="7.5999999999999998E-2"/>
    <x v="0"/>
    <n v="99"/>
    <n v="236"/>
  </r>
  <r>
    <x v="4"/>
    <n v="15"/>
    <n v="27"/>
    <n v="0.60899999999999999"/>
    <n v="2.3300000000000001E-2"/>
    <x v="0"/>
    <n v="128"/>
    <n v="256"/>
  </r>
  <r>
    <x v="0"/>
    <n v="1"/>
    <n v="57"/>
    <n v="0.53100000000000003"/>
    <n v="2.4299999999999999E-2"/>
    <x v="0"/>
    <n v="145"/>
    <n v="202"/>
  </r>
  <r>
    <x v="5"/>
    <n v="8"/>
    <n v="25"/>
    <n v="0.67500000000000004"/>
    <n v="0.14699999999999999"/>
    <x v="0"/>
    <n v="90"/>
    <n v="130"/>
  </r>
  <r>
    <x v="5"/>
    <n v="13"/>
    <n v="65"/>
    <n v="0.84"/>
    <n v="0.16"/>
    <x v="0"/>
    <n v="117"/>
    <n v="188"/>
  </r>
  <r>
    <x v="3"/>
    <n v="35"/>
    <n v="62"/>
    <n v="0.34100000000000003"/>
    <n v="8.0199999999999998E-5"/>
    <x v="0"/>
    <n v="121"/>
    <n v="182"/>
  </r>
  <r>
    <x v="5"/>
    <n v="28"/>
    <n v="24"/>
    <n v="0.80500000000000005"/>
    <n v="3.2500000000000001E-2"/>
    <x v="0"/>
    <n v="95"/>
    <n v="334"/>
  </r>
  <r>
    <x v="4"/>
    <n v="13"/>
    <n v="48"/>
    <n v="0.82199999999999995"/>
    <n v="6.1499999999999999E-2"/>
    <x v="1"/>
    <n v="103"/>
    <n v="2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D3CA2F-6F2D-674E-9F0E-412698020F8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2" firstHeaderRow="1" firstDataRow="1" firstDataCol="1"/>
  <pivotFields count="8">
    <pivotField showAll="0"/>
    <pivotField numFmtId="1" showAll="0"/>
    <pivotField numFmtId="1" showAll="0"/>
    <pivotField numFmtId="2" showAll="0"/>
    <pivotField numFmtId="2" showAll="0"/>
    <pivotField axis="axisRow" dataField="1" showAll="0">
      <items count="3">
        <item x="0"/>
        <item x="1"/>
        <item t="default"/>
      </items>
    </pivotField>
    <pivotField numFmtId="1" showAll="0"/>
    <pivotField numFmtId="1" showAll="0"/>
  </pivotFields>
  <rowFields count="1">
    <field x="5"/>
  </rowFields>
  <rowItems count="3">
    <i>
      <x/>
    </i>
    <i>
      <x v="1"/>
    </i>
    <i t="grand">
      <x/>
    </i>
  </rowItems>
  <colItems count="1">
    <i/>
  </colItems>
  <dataFields count="1">
    <dataField name="Count of Energy" fld="5"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080593-7FCB-44C4-ABD7-AC4740C769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8" firstHeaderRow="1" firstDataRow="1" firstDataCol="1"/>
  <pivotFields count="8">
    <pivotField axis="axisRow" dataField="1" showAll="0">
      <items count="7">
        <item x="2"/>
        <item x="1"/>
        <item x="0"/>
        <item x="4"/>
        <item x="5"/>
        <item x="3"/>
        <item t="default"/>
      </items>
    </pivotField>
    <pivotField numFmtId="1" showAll="0"/>
    <pivotField numFmtId="1" showAll="0"/>
    <pivotField numFmtId="2" showAll="0"/>
    <pivotField numFmtId="2" showAll="0"/>
    <pivotField showAll="0">
      <items count="3">
        <item x="0"/>
        <item x="1"/>
        <item t="default"/>
      </items>
    </pivotField>
    <pivotField numFmtId="1" showAll="0"/>
    <pivotField numFmtId="1" showAll="0"/>
  </pivotFields>
  <rowFields count="1">
    <field x="0"/>
  </rowFields>
  <rowItems count="7">
    <i>
      <x/>
    </i>
    <i>
      <x v="1"/>
    </i>
    <i>
      <x v="2"/>
    </i>
    <i>
      <x v="3"/>
    </i>
    <i>
      <x v="4"/>
    </i>
    <i>
      <x v="5"/>
    </i>
    <i t="grand">
      <x/>
    </i>
  </rowItems>
  <colItems count="1">
    <i/>
  </colItems>
  <dataFields count="1">
    <dataField name="Count of Genre" fld="0" subtotal="count" baseField="0"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4" format="14">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65B7D-B83B-2545-929B-76D7BF8FEAFF}">
  <dimension ref="A1:J19"/>
  <sheetViews>
    <sheetView zoomScale="150" zoomScaleNormal="150" workbookViewId="0"/>
  </sheetViews>
  <sheetFormatPr defaultColWidth="11" defaultRowHeight="16" x14ac:dyDescent="0.4"/>
  <cols>
    <col min="1" max="1" width="16" customWidth="1"/>
    <col min="2" max="2" width="17" customWidth="1"/>
    <col min="3" max="3" width="84.6640625" customWidth="1"/>
    <col min="4" max="4" width="17.33203125" customWidth="1"/>
  </cols>
  <sheetData>
    <row r="1" spans="1:10" x14ac:dyDescent="0.4">
      <c r="A1" s="5" t="s">
        <v>0</v>
      </c>
    </row>
    <row r="2" spans="1:10" x14ac:dyDescent="0.4">
      <c r="A2" t="s">
        <v>1</v>
      </c>
    </row>
    <row r="3" spans="1:10" x14ac:dyDescent="0.4">
      <c r="A3" t="s">
        <v>2</v>
      </c>
    </row>
    <row r="4" spans="1:10" x14ac:dyDescent="0.4">
      <c r="A4" t="s">
        <v>3</v>
      </c>
    </row>
    <row r="6" spans="1:10" x14ac:dyDescent="0.4">
      <c r="A6" s="6" t="s">
        <v>4</v>
      </c>
      <c r="B6" s="6" t="s">
        <v>5</v>
      </c>
      <c r="C6" s="6" t="s">
        <v>6</v>
      </c>
      <c r="D6" s="17" t="s">
        <v>7</v>
      </c>
      <c r="E6" s="12"/>
      <c r="F6" s="12"/>
      <c r="G6" s="12"/>
      <c r="H6" s="12"/>
      <c r="I6" s="12"/>
      <c r="J6" s="12"/>
    </row>
    <row r="7" spans="1:10" s="9" customFormat="1" x14ac:dyDescent="0.4">
      <c r="A7" s="8" t="s">
        <v>8</v>
      </c>
      <c r="B7" s="9" t="s">
        <v>9</v>
      </c>
      <c r="C7" s="9" t="s">
        <v>10</v>
      </c>
      <c r="D7" s="9" t="s">
        <v>11</v>
      </c>
    </row>
    <row r="8" spans="1:10" s="9" customFormat="1" x14ac:dyDescent="0.4">
      <c r="A8" s="8" t="s">
        <v>12</v>
      </c>
      <c r="B8" s="9" t="s">
        <v>13</v>
      </c>
      <c r="C8" s="9" t="s">
        <v>14</v>
      </c>
      <c r="D8" s="9" t="s">
        <v>15</v>
      </c>
    </row>
    <row r="9" spans="1:10" s="9" customFormat="1" x14ac:dyDescent="0.4">
      <c r="A9" s="8" t="s">
        <v>16</v>
      </c>
      <c r="B9" s="9" t="s">
        <v>13</v>
      </c>
      <c r="C9" s="9" t="s">
        <v>17</v>
      </c>
      <c r="D9" s="9" t="s">
        <v>18</v>
      </c>
    </row>
    <row r="10" spans="1:10" x14ac:dyDescent="0.4">
      <c r="A10" s="7" t="s">
        <v>19</v>
      </c>
      <c r="B10" t="s">
        <v>20</v>
      </c>
      <c r="C10" t="s">
        <v>21</v>
      </c>
    </row>
    <row r="11" spans="1:10" x14ac:dyDescent="0.4">
      <c r="A11" s="7" t="s">
        <v>22</v>
      </c>
      <c r="B11" t="s">
        <v>23</v>
      </c>
      <c r="C11" t="s">
        <v>24</v>
      </c>
    </row>
    <row r="12" spans="1:10" x14ac:dyDescent="0.4">
      <c r="A12" s="7" t="s">
        <v>25</v>
      </c>
      <c r="B12" t="s">
        <v>23</v>
      </c>
      <c r="C12" t="s">
        <v>26</v>
      </c>
    </row>
    <row r="13" spans="1:10" x14ac:dyDescent="0.4">
      <c r="A13" s="7" t="s">
        <v>27</v>
      </c>
      <c r="B13" t="s">
        <v>23</v>
      </c>
      <c r="C13" t="s">
        <v>28</v>
      </c>
    </row>
    <row r="14" spans="1:10" s="9" customFormat="1" x14ac:dyDescent="0.4">
      <c r="A14" s="8" t="s">
        <v>29</v>
      </c>
      <c r="B14" s="9" t="s">
        <v>23</v>
      </c>
      <c r="C14" s="9" t="s">
        <v>30</v>
      </c>
      <c r="D14" s="9" t="s">
        <v>31</v>
      </c>
    </row>
    <row r="15" spans="1:10" s="9" customFormat="1" x14ac:dyDescent="0.4">
      <c r="A15" s="8" t="s">
        <v>32</v>
      </c>
      <c r="B15" s="9" t="s">
        <v>23</v>
      </c>
      <c r="C15" s="9" t="s">
        <v>33</v>
      </c>
      <c r="D15" s="9" t="s">
        <v>34</v>
      </c>
    </row>
    <row r="16" spans="1:10" s="9" customFormat="1" x14ac:dyDescent="0.4">
      <c r="A16" s="8" t="s">
        <v>35</v>
      </c>
      <c r="B16" s="9" t="s">
        <v>23</v>
      </c>
      <c r="C16" s="9" t="s">
        <v>36</v>
      </c>
      <c r="D16" s="9" t="s">
        <v>37</v>
      </c>
    </row>
    <row r="17" spans="1:3" x14ac:dyDescent="0.4">
      <c r="A17" s="7" t="s">
        <v>38</v>
      </c>
      <c r="B17" t="s">
        <v>20</v>
      </c>
      <c r="C17" t="s">
        <v>39</v>
      </c>
    </row>
    <row r="18" spans="1:3" x14ac:dyDescent="0.4">
      <c r="A18" s="7" t="s">
        <v>40</v>
      </c>
      <c r="B18" t="s">
        <v>23</v>
      </c>
      <c r="C18" t="s">
        <v>41</v>
      </c>
    </row>
    <row r="19" spans="1:3" x14ac:dyDescent="0.4">
      <c r="A19" s="7" t="s">
        <v>42</v>
      </c>
      <c r="B19" t="s">
        <v>23</v>
      </c>
      <c r="C19" t="s">
        <v>43</v>
      </c>
    </row>
  </sheetData>
  <conditionalFormatting sqref="A7">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C8BD-3CB4-AD4E-AD88-03CC37769000}">
  <dimension ref="A1:M18834"/>
  <sheetViews>
    <sheetView topLeftCell="B1" zoomScale="67" zoomScaleNormal="125" workbookViewId="0"/>
  </sheetViews>
  <sheetFormatPr defaultColWidth="11" defaultRowHeight="16" x14ac:dyDescent="0.4"/>
  <cols>
    <col min="1" max="1" width="25.6640625" customWidth="1"/>
    <col min="2" max="2" width="21.83203125" customWidth="1"/>
    <col min="5" max="5" width="12.6640625" bestFit="1" customWidth="1"/>
    <col min="6" max="6" width="11.83203125" bestFit="1" customWidth="1"/>
    <col min="7" max="7" width="11.5" bestFit="1" customWidth="1"/>
    <col min="9" max="9" width="15.1640625" bestFit="1" customWidth="1"/>
    <col min="11" max="11" width="11.33203125" bestFit="1" customWidth="1"/>
  </cols>
  <sheetData>
    <row r="1" spans="1:13" s="5" customFormat="1" x14ac:dyDescent="0.4">
      <c r="A1" s="5" t="s">
        <v>8</v>
      </c>
      <c r="B1" s="5" t="s">
        <v>16</v>
      </c>
      <c r="C1" s="5" t="s">
        <v>19</v>
      </c>
      <c r="D1" s="5" t="s">
        <v>22</v>
      </c>
      <c r="E1" s="5" t="s">
        <v>25</v>
      </c>
      <c r="F1" s="5" t="s">
        <v>27</v>
      </c>
      <c r="G1" s="5" t="s">
        <v>29</v>
      </c>
      <c r="H1" s="5" t="s">
        <v>32</v>
      </c>
      <c r="I1" s="5" t="s">
        <v>35</v>
      </c>
      <c r="J1" s="5" t="s">
        <v>38</v>
      </c>
      <c r="K1" s="5" t="s">
        <v>40</v>
      </c>
      <c r="L1" s="5" t="s">
        <v>42</v>
      </c>
      <c r="M1" s="5" t="s">
        <v>44</v>
      </c>
    </row>
    <row r="2" spans="1:13" x14ac:dyDescent="0.4">
      <c r="A2" t="s">
        <v>45</v>
      </c>
      <c r="B2" t="s">
        <v>46</v>
      </c>
      <c r="C2" t="s">
        <v>47</v>
      </c>
      <c r="D2" s="2">
        <v>1</v>
      </c>
      <c r="E2" s="2">
        <v>54</v>
      </c>
      <c r="F2" s="3">
        <v>0.75800000000000001</v>
      </c>
      <c r="G2" s="3">
        <v>3.6200000000000003E-2</v>
      </c>
      <c r="H2" s="3">
        <v>0.11600000000000001</v>
      </c>
      <c r="I2" s="3">
        <v>0</v>
      </c>
      <c r="J2" s="3" t="s">
        <v>48</v>
      </c>
      <c r="K2" s="2">
        <v>93</v>
      </c>
      <c r="L2" s="2">
        <v>177</v>
      </c>
      <c r="M2">
        <f t="shared" ref="M2:M65" ca="1" si="0">RAND()</f>
        <v>0.34312316676697241</v>
      </c>
    </row>
    <row r="3" spans="1:13" x14ac:dyDescent="0.4">
      <c r="A3" t="s">
        <v>49</v>
      </c>
      <c r="B3" t="s">
        <v>50</v>
      </c>
      <c r="C3" t="s">
        <v>47</v>
      </c>
      <c r="D3" s="2">
        <v>9</v>
      </c>
      <c r="E3" s="2">
        <v>74</v>
      </c>
      <c r="F3" s="3">
        <v>0.50700000000000001</v>
      </c>
      <c r="G3" s="3">
        <v>3.9300000000000002E-2</v>
      </c>
      <c r="H3" s="3">
        <v>1.8200000000000001E-2</v>
      </c>
      <c r="I3" s="4">
        <v>1.3999999999999999E-6</v>
      </c>
      <c r="J3" s="3" t="s">
        <v>48</v>
      </c>
      <c r="K3" s="2">
        <v>105</v>
      </c>
      <c r="L3" s="2">
        <v>244</v>
      </c>
      <c r="M3">
        <f t="shared" ca="1" si="0"/>
        <v>0.94117961953084095</v>
      </c>
    </row>
    <row r="4" spans="1:13" x14ac:dyDescent="0.4">
      <c r="A4" t="s">
        <v>51</v>
      </c>
      <c r="B4" t="s">
        <v>52</v>
      </c>
      <c r="C4" t="s">
        <v>53</v>
      </c>
      <c r="D4" s="2">
        <v>2</v>
      </c>
      <c r="E4" s="2">
        <v>47</v>
      </c>
      <c r="F4" s="3">
        <v>0.71199999999999997</v>
      </c>
      <c r="G4" s="3">
        <v>3.7699999999999997E-2</v>
      </c>
      <c r="H4" s="3">
        <v>0.30599999999999999</v>
      </c>
      <c r="I4" s="3">
        <v>0</v>
      </c>
      <c r="J4" s="3" t="s">
        <v>48</v>
      </c>
      <c r="K4" s="2">
        <v>150</v>
      </c>
      <c r="L4" s="2">
        <v>224</v>
      </c>
      <c r="M4">
        <f t="shared" ca="1" si="0"/>
        <v>0.29640009922091892</v>
      </c>
    </row>
    <row r="5" spans="1:13" x14ac:dyDescent="0.4">
      <c r="A5" t="s">
        <v>54</v>
      </c>
      <c r="B5" t="s">
        <v>55</v>
      </c>
      <c r="C5" t="s">
        <v>56</v>
      </c>
      <c r="D5" s="2">
        <v>1</v>
      </c>
      <c r="E5" s="2">
        <v>44</v>
      </c>
      <c r="F5" s="3">
        <v>0.51800000000000002</v>
      </c>
      <c r="G5" s="3">
        <v>4.36E-2</v>
      </c>
      <c r="H5" s="3">
        <v>2.2599999999999999E-2</v>
      </c>
      <c r="I5" s="4">
        <v>3.5599999999999998E-6</v>
      </c>
      <c r="J5" s="3" t="s">
        <v>48</v>
      </c>
      <c r="K5" s="2">
        <v>128</v>
      </c>
      <c r="L5" s="2">
        <v>234</v>
      </c>
      <c r="M5">
        <f t="shared" ca="1" si="0"/>
        <v>3.0128943769991978E-2</v>
      </c>
    </row>
    <row r="6" spans="1:13" x14ac:dyDescent="0.4">
      <c r="A6" t="s">
        <v>57</v>
      </c>
      <c r="B6" t="s">
        <v>58</v>
      </c>
      <c r="C6" t="s">
        <v>53</v>
      </c>
      <c r="D6" s="2">
        <v>1</v>
      </c>
      <c r="E6" s="2">
        <v>61</v>
      </c>
      <c r="F6" s="3">
        <v>0.73399999999999999</v>
      </c>
      <c r="G6" s="3">
        <v>8.2400000000000001E-2</v>
      </c>
      <c r="H6" s="3">
        <v>8.1399999999999997E-3</v>
      </c>
      <c r="I6" s="3">
        <v>0.14799999999999999</v>
      </c>
      <c r="J6" s="3" t="s">
        <v>48</v>
      </c>
      <c r="K6" s="2">
        <v>83</v>
      </c>
      <c r="L6" s="2">
        <v>177</v>
      </c>
      <c r="M6">
        <f t="shared" ca="1" si="0"/>
        <v>0.51382375639521216</v>
      </c>
    </row>
    <row r="7" spans="1:13" x14ac:dyDescent="0.4">
      <c r="A7" t="s">
        <v>59</v>
      </c>
      <c r="B7" t="s">
        <v>60</v>
      </c>
      <c r="C7" t="s">
        <v>61</v>
      </c>
      <c r="D7" s="2">
        <v>45</v>
      </c>
      <c r="E7" s="2">
        <v>10</v>
      </c>
      <c r="F7" s="3">
        <v>0.65600000000000003</v>
      </c>
      <c r="G7" s="3">
        <v>9.7600000000000006E-2</v>
      </c>
      <c r="H7" s="3">
        <v>4.5999999999999999E-2</v>
      </c>
      <c r="I7" s="3">
        <v>0</v>
      </c>
      <c r="J7" s="3" t="s">
        <v>48</v>
      </c>
      <c r="K7" s="2">
        <v>145</v>
      </c>
      <c r="L7" s="2">
        <v>169</v>
      </c>
      <c r="M7">
        <f t="shared" ca="1" si="0"/>
        <v>0.78931390918439359</v>
      </c>
    </row>
    <row r="8" spans="1:13" x14ac:dyDescent="0.4">
      <c r="A8" t="s">
        <v>62</v>
      </c>
      <c r="B8" t="s">
        <v>63</v>
      </c>
      <c r="C8" t="s">
        <v>61</v>
      </c>
      <c r="D8" s="2">
        <v>13</v>
      </c>
      <c r="E8" s="2">
        <v>1</v>
      </c>
      <c r="F8" s="3">
        <v>0.498</v>
      </c>
      <c r="G8" s="3">
        <v>2.4E-2</v>
      </c>
      <c r="H8" s="3">
        <v>0.32</v>
      </c>
      <c r="I8" s="3">
        <v>6.28E-3</v>
      </c>
      <c r="J8" s="3" t="s">
        <v>48</v>
      </c>
      <c r="K8" s="2">
        <v>101</v>
      </c>
      <c r="L8" s="2">
        <v>170</v>
      </c>
      <c r="M8">
        <f t="shared" ca="1" si="0"/>
        <v>0.93116010734514831</v>
      </c>
    </row>
    <row r="9" spans="1:13" x14ac:dyDescent="0.4">
      <c r="A9" t="s">
        <v>64</v>
      </c>
      <c r="B9" t="s">
        <v>65</v>
      </c>
      <c r="C9" t="s">
        <v>66</v>
      </c>
      <c r="D9" s="2">
        <v>3</v>
      </c>
      <c r="E9" s="2">
        <v>30</v>
      </c>
      <c r="F9" s="3">
        <v>0.62</v>
      </c>
      <c r="G9" s="3">
        <v>0.375</v>
      </c>
      <c r="H9" s="3">
        <v>0.29699999999999999</v>
      </c>
      <c r="I9" s="4">
        <v>4.2500000000000003E-5</v>
      </c>
      <c r="J9" s="3" t="s">
        <v>67</v>
      </c>
      <c r="K9" s="2">
        <v>87</v>
      </c>
      <c r="L9" s="2">
        <v>220</v>
      </c>
      <c r="M9">
        <f t="shared" ca="1" si="0"/>
        <v>0.16757864628498564</v>
      </c>
    </row>
    <row r="10" spans="1:13" x14ac:dyDescent="0.4">
      <c r="A10" t="s">
        <v>68</v>
      </c>
      <c r="B10" t="s">
        <v>69</v>
      </c>
      <c r="C10" t="s">
        <v>47</v>
      </c>
      <c r="D10" s="2">
        <v>1</v>
      </c>
      <c r="E10" s="2">
        <v>31</v>
      </c>
      <c r="F10" s="3">
        <v>0.64600000000000002</v>
      </c>
      <c r="G10" s="3">
        <v>5.62E-2</v>
      </c>
      <c r="H10" s="3">
        <v>5.21E-2</v>
      </c>
      <c r="I10" s="3">
        <v>4.4299999999999999E-3</v>
      </c>
      <c r="J10" s="3" t="s">
        <v>48</v>
      </c>
      <c r="K10" s="2">
        <v>112</v>
      </c>
      <c r="L10" s="2">
        <v>234</v>
      </c>
      <c r="M10">
        <f t="shared" ca="1" si="0"/>
        <v>0.39125685106423491</v>
      </c>
    </row>
    <row r="11" spans="1:13" x14ac:dyDescent="0.4">
      <c r="A11" t="s">
        <v>70</v>
      </c>
      <c r="B11" t="s">
        <v>71</v>
      </c>
      <c r="C11" t="s">
        <v>61</v>
      </c>
      <c r="D11" s="2">
        <v>44</v>
      </c>
      <c r="E11" s="2">
        <v>77</v>
      </c>
      <c r="F11" s="3">
        <v>0.754</v>
      </c>
      <c r="G11" s="3">
        <v>0.30199999999999999</v>
      </c>
      <c r="H11" s="3">
        <v>0.153</v>
      </c>
      <c r="I11" s="4">
        <v>1.1400000000000001E-4</v>
      </c>
      <c r="J11" s="3" t="s">
        <v>48</v>
      </c>
      <c r="K11" s="2">
        <v>126</v>
      </c>
      <c r="L11" s="2">
        <v>215</v>
      </c>
      <c r="M11">
        <f t="shared" ca="1" si="0"/>
        <v>0.29815599831688888</v>
      </c>
    </row>
    <row r="12" spans="1:13" x14ac:dyDescent="0.4">
      <c r="A12" t="s">
        <v>72</v>
      </c>
      <c r="B12" t="s">
        <v>73</v>
      </c>
      <c r="C12" t="s">
        <v>61</v>
      </c>
      <c r="D12" s="2">
        <v>16</v>
      </c>
      <c r="E12" s="2">
        <v>4</v>
      </c>
      <c r="F12" s="3">
        <v>0.28000000000000003</v>
      </c>
      <c r="G12" s="3">
        <v>0.127</v>
      </c>
      <c r="H12" s="3">
        <v>2.3199999999999998E-2</v>
      </c>
      <c r="I12" s="3">
        <v>1.5800000000000002E-2</v>
      </c>
      <c r="J12" s="3" t="s">
        <v>48</v>
      </c>
      <c r="K12" s="2">
        <v>100</v>
      </c>
      <c r="L12" s="2">
        <v>406</v>
      </c>
      <c r="M12">
        <f t="shared" ca="1" si="0"/>
        <v>0.25468261702697026</v>
      </c>
    </row>
    <row r="13" spans="1:13" x14ac:dyDescent="0.4">
      <c r="A13" t="s">
        <v>74</v>
      </c>
      <c r="B13" t="s">
        <v>75</v>
      </c>
      <c r="C13" t="s">
        <v>61</v>
      </c>
      <c r="D13" s="2">
        <v>32</v>
      </c>
      <c r="E13" s="2">
        <v>14</v>
      </c>
      <c r="F13" s="3">
        <v>0.44400000000000001</v>
      </c>
      <c r="G13" s="3">
        <v>6.4100000000000004E-2</v>
      </c>
      <c r="H13" s="3">
        <v>1.1199999999999999E-3</v>
      </c>
      <c r="I13" s="3">
        <v>7.6100000000000001E-2</v>
      </c>
      <c r="J13" s="3" t="s">
        <v>48</v>
      </c>
      <c r="K13" s="2">
        <v>106</v>
      </c>
      <c r="L13" s="2">
        <v>447</v>
      </c>
      <c r="M13">
        <f t="shared" ca="1" si="0"/>
        <v>0.14499105582391536</v>
      </c>
    </row>
    <row r="14" spans="1:13" x14ac:dyDescent="0.4">
      <c r="A14" t="s">
        <v>76</v>
      </c>
      <c r="B14" t="s">
        <v>77</v>
      </c>
      <c r="C14" t="s">
        <v>66</v>
      </c>
      <c r="D14" s="2">
        <v>4</v>
      </c>
      <c r="E14" s="2">
        <v>2</v>
      </c>
      <c r="F14" s="3">
        <v>0.55000000000000004</v>
      </c>
      <c r="G14" s="3">
        <v>3.6299999999999999E-2</v>
      </c>
      <c r="H14" s="3">
        <v>9.5700000000000004E-3</v>
      </c>
      <c r="I14" s="3">
        <v>2.2800000000000001E-2</v>
      </c>
      <c r="J14" s="3" t="s">
        <v>67</v>
      </c>
      <c r="K14" s="2">
        <v>118</v>
      </c>
      <c r="L14" s="2">
        <v>379</v>
      </c>
      <c r="M14">
        <f t="shared" ca="1" si="0"/>
        <v>0.55634191883461037</v>
      </c>
    </row>
    <row r="15" spans="1:13" x14ac:dyDescent="0.4">
      <c r="A15" t="s">
        <v>78</v>
      </c>
      <c r="B15" t="s">
        <v>79</v>
      </c>
      <c r="C15" t="s">
        <v>47</v>
      </c>
      <c r="D15" s="2">
        <v>5</v>
      </c>
      <c r="E15" s="2">
        <v>53</v>
      </c>
      <c r="F15" s="3">
        <v>0.72199999999999998</v>
      </c>
      <c r="G15" s="3">
        <v>6.13E-2</v>
      </c>
      <c r="H15" s="3">
        <v>1.0200000000000001E-2</v>
      </c>
      <c r="I15" s="3">
        <v>4.3499999999999997E-3</v>
      </c>
      <c r="J15" s="3" t="s">
        <v>48</v>
      </c>
      <c r="K15" s="2">
        <v>122</v>
      </c>
      <c r="L15" s="2">
        <v>236</v>
      </c>
      <c r="M15">
        <f t="shared" ca="1" si="0"/>
        <v>0.51113850743351708</v>
      </c>
    </row>
    <row r="16" spans="1:13" x14ac:dyDescent="0.4">
      <c r="A16" t="s">
        <v>80</v>
      </c>
      <c r="B16" t="s">
        <v>81</v>
      </c>
      <c r="C16" t="s">
        <v>47</v>
      </c>
      <c r="D16" s="2">
        <v>3</v>
      </c>
      <c r="E16" s="2">
        <v>79</v>
      </c>
      <c r="F16" s="3">
        <v>0.69</v>
      </c>
      <c r="G16" s="3">
        <v>6.2199999999999998E-2</v>
      </c>
      <c r="H16" s="3">
        <v>0.253</v>
      </c>
      <c r="I16" s="3">
        <v>0</v>
      </c>
      <c r="J16" s="3" t="s">
        <v>48</v>
      </c>
      <c r="K16" s="2">
        <v>102</v>
      </c>
      <c r="L16" s="2">
        <v>210</v>
      </c>
      <c r="M16">
        <f t="shared" ca="1" si="0"/>
        <v>0.42232314566644213</v>
      </c>
    </row>
    <row r="17" spans="1:13" x14ac:dyDescent="0.4">
      <c r="A17" t="s">
        <v>82</v>
      </c>
      <c r="B17" t="s">
        <v>83</v>
      </c>
      <c r="C17" t="s">
        <v>84</v>
      </c>
      <c r="D17" s="2">
        <v>10</v>
      </c>
      <c r="E17" s="2">
        <v>28</v>
      </c>
      <c r="F17" s="3">
        <v>0.38700000000000001</v>
      </c>
      <c r="G17" s="3">
        <v>0.313</v>
      </c>
      <c r="H17" s="3">
        <v>4.1599999999999998E-2</v>
      </c>
      <c r="I17" s="3">
        <v>0</v>
      </c>
      <c r="J17" s="3" t="s">
        <v>48</v>
      </c>
      <c r="K17" s="2">
        <v>79</v>
      </c>
      <c r="L17" s="2">
        <v>318</v>
      </c>
      <c r="M17">
        <f t="shared" ca="1" si="0"/>
        <v>0.74424087514739534</v>
      </c>
    </row>
    <row r="18" spans="1:13" x14ac:dyDescent="0.4">
      <c r="A18" t="s">
        <v>85</v>
      </c>
      <c r="B18" t="s">
        <v>86</v>
      </c>
      <c r="C18" t="s">
        <v>53</v>
      </c>
      <c r="D18" s="2">
        <v>15</v>
      </c>
      <c r="E18" s="2">
        <v>52</v>
      </c>
      <c r="F18" s="3">
        <v>0.70299999999999996</v>
      </c>
      <c r="G18" s="3">
        <v>0.09</v>
      </c>
      <c r="H18" s="3">
        <v>0.53500000000000003</v>
      </c>
      <c r="I18" s="3">
        <v>0</v>
      </c>
      <c r="J18" s="3" t="s">
        <v>48</v>
      </c>
      <c r="K18" s="2">
        <v>93</v>
      </c>
      <c r="L18" s="2">
        <v>267</v>
      </c>
      <c r="M18">
        <f t="shared" ca="1" si="0"/>
        <v>0.84840430161613323</v>
      </c>
    </row>
    <row r="19" spans="1:13" x14ac:dyDescent="0.4">
      <c r="A19" t="s">
        <v>87</v>
      </c>
      <c r="B19" t="s">
        <v>88</v>
      </c>
      <c r="C19" t="s">
        <v>53</v>
      </c>
      <c r="D19" s="2">
        <v>1</v>
      </c>
      <c r="E19" s="2">
        <v>32</v>
      </c>
      <c r="F19" s="3">
        <v>0.65100000000000002</v>
      </c>
      <c r="G19" s="3">
        <v>3.8100000000000002E-2</v>
      </c>
      <c r="H19" s="3">
        <v>0.19400000000000001</v>
      </c>
      <c r="I19" s="4">
        <v>8.9300000000000002E-5</v>
      </c>
      <c r="J19" s="3" t="s">
        <v>48</v>
      </c>
      <c r="K19" s="2">
        <v>162</v>
      </c>
      <c r="L19" s="2">
        <v>236</v>
      </c>
      <c r="M19">
        <f t="shared" ca="1" si="0"/>
        <v>0.99521685139523008</v>
      </c>
    </row>
    <row r="20" spans="1:13" x14ac:dyDescent="0.4">
      <c r="A20" t="s">
        <v>89</v>
      </c>
      <c r="B20" t="s">
        <v>90</v>
      </c>
      <c r="C20" t="s">
        <v>53</v>
      </c>
      <c r="D20" s="2">
        <v>4</v>
      </c>
      <c r="E20" s="2">
        <v>37</v>
      </c>
      <c r="F20" s="3">
        <v>0.66700000000000004</v>
      </c>
      <c r="G20" s="3">
        <v>4.9299999999999997E-2</v>
      </c>
      <c r="H20" s="3">
        <v>0.13200000000000001</v>
      </c>
      <c r="I20" s="3">
        <v>0</v>
      </c>
      <c r="J20" s="3" t="s">
        <v>48</v>
      </c>
      <c r="K20" s="2">
        <v>174</v>
      </c>
      <c r="L20" s="2">
        <v>191</v>
      </c>
      <c r="M20">
        <f t="shared" ca="1" si="0"/>
        <v>0.62137767931796817</v>
      </c>
    </row>
    <row r="21" spans="1:13" x14ac:dyDescent="0.4">
      <c r="A21" t="s">
        <v>91</v>
      </c>
      <c r="B21" t="s">
        <v>92</v>
      </c>
      <c r="C21" t="s">
        <v>47</v>
      </c>
      <c r="D21" s="2">
        <v>0</v>
      </c>
      <c r="E21" s="2">
        <v>37</v>
      </c>
      <c r="F21" s="3">
        <v>0.65200000000000002</v>
      </c>
      <c r="G21" s="3">
        <v>3.5400000000000001E-2</v>
      </c>
      <c r="H21" s="3">
        <v>0.56200000000000006</v>
      </c>
      <c r="I21" s="4">
        <v>9.3800000000000003E-5</v>
      </c>
      <c r="J21" s="3" t="s">
        <v>67</v>
      </c>
      <c r="K21" s="2">
        <v>132</v>
      </c>
      <c r="L21" s="2">
        <v>213</v>
      </c>
      <c r="M21">
        <f t="shared" ca="1" si="0"/>
        <v>0.61611120946258813</v>
      </c>
    </row>
    <row r="22" spans="1:13" x14ac:dyDescent="0.4">
      <c r="A22" t="s">
        <v>93</v>
      </c>
      <c r="B22" t="s">
        <v>94</v>
      </c>
      <c r="C22" t="s">
        <v>61</v>
      </c>
      <c r="D22" s="2">
        <v>35</v>
      </c>
      <c r="E22" s="2">
        <v>29</v>
      </c>
      <c r="F22" s="3">
        <v>0.64200000000000002</v>
      </c>
      <c r="G22" s="3">
        <v>4.1500000000000002E-2</v>
      </c>
      <c r="H22" s="3">
        <v>0.60699999999999998</v>
      </c>
      <c r="I22" s="4">
        <v>1.5E-6</v>
      </c>
      <c r="J22" s="3" t="s">
        <v>48</v>
      </c>
      <c r="K22" s="2">
        <v>127</v>
      </c>
      <c r="L22" s="2">
        <v>220</v>
      </c>
      <c r="M22">
        <f t="shared" ca="1" si="0"/>
        <v>0.23131950563011006</v>
      </c>
    </row>
    <row r="23" spans="1:13" x14ac:dyDescent="0.4">
      <c r="A23" t="s">
        <v>95</v>
      </c>
      <c r="B23" t="s">
        <v>96</v>
      </c>
      <c r="C23" t="s">
        <v>61</v>
      </c>
      <c r="D23" s="2">
        <v>30</v>
      </c>
      <c r="E23" s="2">
        <v>59</v>
      </c>
      <c r="F23" s="3">
        <v>0.27300000000000002</v>
      </c>
      <c r="G23" s="3">
        <v>3.0599999999999999E-2</v>
      </c>
      <c r="H23" s="3">
        <v>2.41E-2</v>
      </c>
      <c r="I23" s="3">
        <v>0</v>
      </c>
      <c r="J23" s="3" t="s">
        <v>48</v>
      </c>
      <c r="K23" s="2">
        <v>82</v>
      </c>
      <c r="L23" s="2">
        <v>287</v>
      </c>
      <c r="M23">
        <f t="shared" ca="1" si="0"/>
        <v>9.8940333542016701E-2</v>
      </c>
    </row>
    <row r="24" spans="1:13" x14ac:dyDescent="0.4">
      <c r="A24" t="s">
        <v>97</v>
      </c>
      <c r="B24" t="s">
        <v>98</v>
      </c>
      <c r="C24" t="s">
        <v>56</v>
      </c>
      <c r="D24" s="2">
        <v>1</v>
      </c>
      <c r="E24" s="2">
        <v>63</v>
      </c>
      <c r="F24" s="3">
        <v>0.57099999999999995</v>
      </c>
      <c r="G24" s="3">
        <v>8.8300000000000003E-2</v>
      </c>
      <c r="H24" s="3">
        <v>1.14E-2</v>
      </c>
      <c r="I24" s="3">
        <v>1.2800000000000001E-2</v>
      </c>
      <c r="J24" s="3" t="s">
        <v>48</v>
      </c>
      <c r="K24" s="2">
        <v>150</v>
      </c>
      <c r="L24" s="2">
        <v>253</v>
      </c>
      <c r="M24">
        <f t="shared" ca="1" si="0"/>
        <v>0.54976910951021196</v>
      </c>
    </row>
    <row r="25" spans="1:13" x14ac:dyDescent="0.4">
      <c r="A25" t="s">
        <v>99</v>
      </c>
      <c r="B25" t="s">
        <v>100</v>
      </c>
      <c r="C25" t="s">
        <v>61</v>
      </c>
      <c r="D25" s="2">
        <v>38</v>
      </c>
      <c r="E25" s="2">
        <v>33</v>
      </c>
      <c r="F25" s="3">
        <v>0.54100000000000004</v>
      </c>
      <c r="G25" s="3">
        <v>6.8400000000000002E-2</v>
      </c>
      <c r="H25" s="3">
        <v>4.7500000000000001E-2</v>
      </c>
      <c r="I25" s="4">
        <v>1.17E-5</v>
      </c>
      <c r="J25" s="3" t="s">
        <v>48</v>
      </c>
      <c r="K25" s="2">
        <v>140</v>
      </c>
      <c r="L25" s="2">
        <v>341</v>
      </c>
      <c r="M25">
        <f t="shared" ca="1" si="0"/>
        <v>0.64662988940954003</v>
      </c>
    </row>
    <row r="26" spans="1:13" x14ac:dyDescent="0.4">
      <c r="A26" t="s">
        <v>101</v>
      </c>
      <c r="B26" t="s">
        <v>102</v>
      </c>
      <c r="C26" t="s">
        <v>84</v>
      </c>
      <c r="D26" s="2">
        <v>2</v>
      </c>
      <c r="E26" s="2">
        <v>28</v>
      </c>
      <c r="F26" s="3">
        <v>0.74</v>
      </c>
      <c r="G26" s="3">
        <v>0.26500000000000001</v>
      </c>
      <c r="H26" s="3">
        <v>0.129</v>
      </c>
      <c r="I26" s="4">
        <v>3.9500000000000001E-4</v>
      </c>
      <c r="J26" s="3" t="s">
        <v>48</v>
      </c>
      <c r="K26" s="2">
        <v>85</v>
      </c>
      <c r="L26" s="2">
        <v>295</v>
      </c>
      <c r="M26">
        <f t="shared" ca="1" si="0"/>
        <v>0.42383205926815282</v>
      </c>
    </row>
    <row r="27" spans="1:13" x14ac:dyDescent="0.4">
      <c r="A27" t="s">
        <v>103</v>
      </c>
      <c r="B27" t="s">
        <v>104</v>
      </c>
      <c r="C27" t="s">
        <v>61</v>
      </c>
      <c r="D27" s="2">
        <v>1</v>
      </c>
      <c r="E27" s="2">
        <v>41</v>
      </c>
      <c r="F27" s="3">
        <v>0.495</v>
      </c>
      <c r="G27" s="3">
        <v>3.5400000000000001E-2</v>
      </c>
      <c r="H27" s="3">
        <v>7.3000000000000001E-3</v>
      </c>
      <c r="I27" s="4">
        <v>5.24E-5</v>
      </c>
      <c r="J27" s="3" t="s">
        <v>48</v>
      </c>
      <c r="K27" s="2">
        <v>92</v>
      </c>
      <c r="L27" s="2">
        <v>203</v>
      </c>
      <c r="M27">
        <f t="shared" ca="1" si="0"/>
        <v>0.72897568361634668</v>
      </c>
    </row>
    <row r="28" spans="1:13" x14ac:dyDescent="0.4">
      <c r="A28" t="s">
        <v>105</v>
      </c>
      <c r="B28" t="s">
        <v>106</v>
      </c>
      <c r="C28" t="s">
        <v>56</v>
      </c>
      <c r="D28" s="2">
        <v>1</v>
      </c>
      <c r="E28" s="2">
        <v>47</v>
      </c>
      <c r="F28" s="3">
        <v>0.59799999999999998</v>
      </c>
      <c r="G28" s="3">
        <v>3.6299999999999999E-2</v>
      </c>
      <c r="H28" s="4">
        <v>9.3800000000000003E-5</v>
      </c>
      <c r="I28" s="3">
        <v>0.51400000000000001</v>
      </c>
      <c r="J28" s="3" t="s">
        <v>48</v>
      </c>
      <c r="K28" s="2">
        <v>140</v>
      </c>
      <c r="L28" s="2">
        <v>174</v>
      </c>
      <c r="M28">
        <f t="shared" ca="1" si="0"/>
        <v>0.93791499323280814</v>
      </c>
    </row>
    <row r="29" spans="1:13" x14ac:dyDescent="0.4">
      <c r="A29" t="s">
        <v>107</v>
      </c>
      <c r="B29" t="s">
        <v>108</v>
      </c>
      <c r="C29" t="s">
        <v>61</v>
      </c>
      <c r="D29" s="2">
        <v>24</v>
      </c>
      <c r="E29" s="2">
        <v>3</v>
      </c>
      <c r="F29" s="3">
        <v>0.55200000000000005</v>
      </c>
      <c r="G29" s="3">
        <v>0.112</v>
      </c>
      <c r="H29" s="3">
        <v>0.38300000000000001</v>
      </c>
      <c r="I29" s="3">
        <v>5.3099999999999996E-3</v>
      </c>
      <c r="J29" s="3" t="s">
        <v>48</v>
      </c>
      <c r="K29" s="2">
        <v>128</v>
      </c>
      <c r="L29" s="2">
        <v>346</v>
      </c>
      <c r="M29">
        <f t="shared" ca="1" si="0"/>
        <v>0.19920153819572439</v>
      </c>
    </row>
    <row r="30" spans="1:13" x14ac:dyDescent="0.4">
      <c r="A30" t="s">
        <v>109</v>
      </c>
      <c r="B30" t="s">
        <v>110</v>
      </c>
      <c r="C30" t="s">
        <v>56</v>
      </c>
      <c r="D30" s="2">
        <v>1</v>
      </c>
      <c r="E30" s="2">
        <v>30</v>
      </c>
      <c r="F30" s="3">
        <v>0.71199999999999997</v>
      </c>
      <c r="G30" s="3">
        <v>0.20399999999999999</v>
      </c>
      <c r="H30" s="3">
        <v>3.7399999999999998E-3</v>
      </c>
      <c r="I30" s="3">
        <v>0.317</v>
      </c>
      <c r="J30" s="3" t="s">
        <v>48</v>
      </c>
      <c r="K30" s="2">
        <v>126</v>
      </c>
      <c r="L30" s="2">
        <v>166</v>
      </c>
      <c r="M30">
        <f t="shared" ca="1" si="0"/>
        <v>0.9265268967870236</v>
      </c>
    </row>
    <row r="31" spans="1:13" x14ac:dyDescent="0.4">
      <c r="A31" t="s">
        <v>111</v>
      </c>
      <c r="B31" t="s">
        <v>112</v>
      </c>
      <c r="C31" t="s">
        <v>47</v>
      </c>
      <c r="D31" s="2">
        <v>8</v>
      </c>
      <c r="E31" s="2">
        <v>63</v>
      </c>
      <c r="F31" s="3">
        <v>0.51400000000000001</v>
      </c>
      <c r="G31" s="3">
        <v>5.0099999999999999E-2</v>
      </c>
      <c r="H31" s="3">
        <v>0.20799999999999999</v>
      </c>
      <c r="I31" s="3">
        <v>1.32E-2</v>
      </c>
      <c r="J31" s="3" t="s">
        <v>48</v>
      </c>
      <c r="K31" s="2">
        <v>95</v>
      </c>
      <c r="L31" s="2">
        <v>234</v>
      </c>
      <c r="M31">
        <f t="shared" ca="1" si="0"/>
        <v>0.4918877138682104</v>
      </c>
    </row>
    <row r="32" spans="1:13" x14ac:dyDescent="0.4">
      <c r="A32" t="s">
        <v>113</v>
      </c>
      <c r="B32" t="s">
        <v>114</v>
      </c>
      <c r="C32" t="s">
        <v>84</v>
      </c>
      <c r="D32" s="2">
        <v>1</v>
      </c>
      <c r="E32" s="2">
        <v>50</v>
      </c>
      <c r="F32" s="3">
        <v>0.72299999999999998</v>
      </c>
      <c r="G32" s="3">
        <v>0.35599999999999998</v>
      </c>
      <c r="H32" s="3">
        <v>8.1899999999999994E-3</v>
      </c>
      <c r="I32" s="4">
        <v>1.3100000000000001E-4</v>
      </c>
      <c r="J32" s="3" t="s">
        <v>48</v>
      </c>
      <c r="K32" s="2">
        <v>168</v>
      </c>
      <c r="L32" s="2">
        <v>151</v>
      </c>
      <c r="M32">
        <f t="shared" ca="1" si="0"/>
        <v>0.33541453484079309</v>
      </c>
    </row>
    <row r="33" spans="1:13" x14ac:dyDescent="0.4">
      <c r="A33" t="s">
        <v>115</v>
      </c>
      <c r="B33" t="s">
        <v>116</v>
      </c>
      <c r="C33" t="s">
        <v>56</v>
      </c>
      <c r="D33" s="2">
        <v>1</v>
      </c>
      <c r="E33" s="2">
        <v>37</v>
      </c>
      <c r="F33" s="3">
        <v>0.57799999999999996</v>
      </c>
      <c r="G33" s="3">
        <v>3.4700000000000002E-2</v>
      </c>
      <c r="H33" s="3">
        <v>3.48E-3</v>
      </c>
      <c r="I33" s="3">
        <v>0.221</v>
      </c>
      <c r="J33" s="3" t="s">
        <v>48</v>
      </c>
      <c r="K33" s="2">
        <v>120</v>
      </c>
      <c r="L33" s="2">
        <v>227</v>
      </c>
      <c r="M33">
        <f t="shared" ca="1" si="0"/>
        <v>0.17254744957766943</v>
      </c>
    </row>
    <row r="34" spans="1:13" x14ac:dyDescent="0.4">
      <c r="A34" t="s">
        <v>117</v>
      </c>
      <c r="B34" t="s">
        <v>118</v>
      </c>
      <c r="C34" t="s">
        <v>84</v>
      </c>
      <c r="D34" s="2">
        <v>1</v>
      </c>
      <c r="E34" s="2">
        <v>53</v>
      </c>
      <c r="F34" s="3">
        <v>0.93500000000000005</v>
      </c>
      <c r="G34" s="3">
        <v>0.20399999999999999</v>
      </c>
      <c r="H34" s="3">
        <v>0.315</v>
      </c>
      <c r="I34" s="3">
        <v>0</v>
      </c>
      <c r="J34" s="3" t="s">
        <v>48</v>
      </c>
      <c r="K34" s="2">
        <v>128</v>
      </c>
      <c r="L34" s="2">
        <v>143</v>
      </c>
      <c r="M34">
        <f t="shared" ca="1" si="0"/>
        <v>0.45524126218726257</v>
      </c>
    </row>
    <row r="35" spans="1:13" x14ac:dyDescent="0.4">
      <c r="A35" t="s">
        <v>119</v>
      </c>
      <c r="B35" t="s">
        <v>120</v>
      </c>
      <c r="C35" t="s">
        <v>84</v>
      </c>
      <c r="D35" s="2">
        <v>19</v>
      </c>
      <c r="E35" s="2">
        <v>52</v>
      </c>
      <c r="F35" s="3">
        <v>0.94799999999999995</v>
      </c>
      <c r="G35" s="3">
        <v>0.17</v>
      </c>
      <c r="H35" s="4">
        <v>9.2400000000000002E-4</v>
      </c>
      <c r="I35" s="3">
        <v>0</v>
      </c>
      <c r="J35" s="3" t="s">
        <v>48</v>
      </c>
      <c r="K35" s="2">
        <v>100</v>
      </c>
      <c r="L35" s="2">
        <v>259</v>
      </c>
      <c r="M35">
        <f t="shared" ca="1" si="0"/>
        <v>0.3358868352803942</v>
      </c>
    </row>
    <row r="36" spans="1:13" x14ac:dyDescent="0.4">
      <c r="A36" t="s">
        <v>121</v>
      </c>
      <c r="B36" t="s">
        <v>122</v>
      </c>
      <c r="C36" t="s">
        <v>53</v>
      </c>
      <c r="D36" s="2">
        <v>1</v>
      </c>
      <c r="E36" s="2">
        <v>16</v>
      </c>
      <c r="F36" s="3">
        <v>0.69099999999999995</v>
      </c>
      <c r="G36" s="3">
        <v>9.2399999999999996E-2</v>
      </c>
      <c r="H36" s="3">
        <v>0.32200000000000001</v>
      </c>
      <c r="I36" s="3">
        <v>0</v>
      </c>
      <c r="J36" s="3" t="s">
        <v>48</v>
      </c>
      <c r="K36" s="2">
        <v>154</v>
      </c>
      <c r="L36" s="2">
        <v>218</v>
      </c>
      <c r="M36">
        <f t="shared" ca="1" si="0"/>
        <v>0.42863775942120264</v>
      </c>
    </row>
    <row r="37" spans="1:13" x14ac:dyDescent="0.4">
      <c r="A37" t="s">
        <v>123</v>
      </c>
      <c r="B37" t="s">
        <v>124</v>
      </c>
      <c r="C37" t="s">
        <v>66</v>
      </c>
      <c r="D37" s="2">
        <v>1</v>
      </c>
      <c r="E37" s="2">
        <v>20</v>
      </c>
      <c r="F37" s="3">
        <v>0.58899999999999997</v>
      </c>
      <c r="G37" s="3">
        <v>4.0800000000000003E-2</v>
      </c>
      <c r="H37" s="3">
        <v>0.24299999999999999</v>
      </c>
      <c r="I37" s="4">
        <v>1.0399999999999999E-4</v>
      </c>
      <c r="J37" s="3" t="s">
        <v>48</v>
      </c>
      <c r="K37" s="2">
        <v>97</v>
      </c>
      <c r="L37" s="2">
        <v>292</v>
      </c>
      <c r="M37">
        <f t="shared" ca="1" si="0"/>
        <v>0.78093502289265171</v>
      </c>
    </row>
    <row r="38" spans="1:13" x14ac:dyDescent="0.4">
      <c r="A38" t="s">
        <v>125</v>
      </c>
      <c r="B38" t="s">
        <v>126</v>
      </c>
      <c r="C38" t="s">
        <v>66</v>
      </c>
      <c r="D38" s="2">
        <v>50</v>
      </c>
      <c r="E38" s="2">
        <v>59</v>
      </c>
      <c r="F38" s="3">
        <v>0.48399999999999999</v>
      </c>
      <c r="G38" s="3">
        <v>2.8299999999999999E-2</v>
      </c>
      <c r="H38" s="3">
        <v>0.79500000000000004</v>
      </c>
      <c r="I38" s="3">
        <v>3.0599999999999998E-3</v>
      </c>
      <c r="J38" s="3" t="s">
        <v>48</v>
      </c>
      <c r="K38" s="2">
        <v>141</v>
      </c>
      <c r="L38" s="2">
        <v>201</v>
      </c>
      <c r="M38">
        <f t="shared" ca="1" si="0"/>
        <v>0.72206337006604926</v>
      </c>
    </row>
    <row r="39" spans="1:13" x14ac:dyDescent="0.4">
      <c r="A39" t="s">
        <v>127</v>
      </c>
      <c r="B39" t="s">
        <v>128</v>
      </c>
      <c r="C39" t="s">
        <v>66</v>
      </c>
      <c r="D39" s="2">
        <v>6</v>
      </c>
      <c r="E39" s="2">
        <v>41</v>
      </c>
      <c r="F39" s="3">
        <v>0.54300000000000004</v>
      </c>
      <c r="G39" s="3">
        <v>4.8500000000000001E-2</v>
      </c>
      <c r="H39" s="4">
        <v>6.6299999999999996E-4</v>
      </c>
      <c r="I39" s="3">
        <v>0</v>
      </c>
      <c r="J39" s="3" t="s">
        <v>48</v>
      </c>
      <c r="K39" s="2">
        <v>174</v>
      </c>
      <c r="L39" s="2">
        <v>293</v>
      </c>
      <c r="M39">
        <f t="shared" ca="1" si="0"/>
        <v>0.98985091711483775</v>
      </c>
    </row>
    <row r="40" spans="1:13" x14ac:dyDescent="0.4">
      <c r="A40" t="s">
        <v>129</v>
      </c>
      <c r="B40" t="s">
        <v>130</v>
      </c>
      <c r="C40" t="s">
        <v>47</v>
      </c>
      <c r="D40" s="2">
        <v>0</v>
      </c>
      <c r="E40" s="2">
        <v>51</v>
      </c>
      <c r="F40" s="3">
        <v>0.61399999999999999</v>
      </c>
      <c r="G40" s="3">
        <v>3.7499999999999999E-2</v>
      </c>
      <c r="H40" s="3">
        <v>0.45100000000000001</v>
      </c>
      <c r="I40" s="4">
        <v>5.0300000000000003E-5</v>
      </c>
      <c r="J40" s="3" t="s">
        <v>48</v>
      </c>
      <c r="K40" s="2">
        <v>117</v>
      </c>
      <c r="L40" s="2">
        <v>207</v>
      </c>
      <c r="M40">
        <f t="shared" ca="1" si="0"/>
        <v>0.68085884029454147</v>
      </c>
    </row>
    <row r="41" spans="1:13" x14ac:dyDescent="0.4">
      <c r="A41" t="s">
        <v>131</v>
      </c>
      <c r="B41" t="s">
        <v>132</v>
      </c>
      <c r="C41" t="s">
        <v>84</v>
      </c>
      <c r="D41" s="2">
        <v>1</v>
      </c>
      <c r="E41" s="2">
        <v>7</v>
      </c>
      <c r="F41" s="3">
        <v>0.86899999999999999</v>
      </c>
      <c r="G41" s="3">
        <v>0.128</v>
      </c>
      <c r="H41" s="3">
        <v>3.7400000000000003E-2</v>
      </c>
      <c r="I41" s="3">
        <v>1.6799999999999999E-2</v>
      </c>
      <c r="J41" s="3" t="s">
        <v>67</v>
      </c>
      <c r="K41" s="2">
        <v>92</v>
      </c>
      <c r="L41" s="2">
        <v>162</v>
      </c>
      <c r="M41">
        <f t="shared" ca="1" si="0"/>
        <v>0.43939386993825524</v>
      </c>
    </row>
    <row r="42" spans="1:13" x14ac:dyDescent="0.4">
      <c r="A42" t="s">
        <v>133</v>
      </c>
      <c r="B42" t="s">
        <v>134</v>
      </c>
      <c r="C42" t="s">
        <v>61</v>
      </c>
      <c r="D42" s="2">
        <v>16</v>
      </c>
      <c r="E42" s="2">
        <v>44</v>
      </c>
      <c r="F42" s="3">
        <v>0.434</v>
      </c>
      <c r="G42" s="3">
        <v>8.9200000000000002E-2</v>
      </c>
      <c r="H42" s="4">
        <v>6.2200000000000005E-4</v>
      </c>
      <c r="I42" s="4">
        <v>4.4799999999999998E-5</v>
      </c>
      <c r="J42" s="3" t="s">
        <v>48</v>
      </c>
      <c r="K42" s="2">
        <v>170</v>
      </c>
      <c r="L42" s="2">
        <v>204</v>
      </c>
      <c r="M42">
        <f t="shared" ca="1" si="0"/>
        <v>8.9151723332692723E-2</v>
      </c>
    </row>
    <row r="43" spans="1:13" x14ac:dyDescent="0.4">
      <c r="A43" t="s">
        <v>135</v>
      </c>
      <c r="B43" t="s">
        <v>136</v>
      </c>
      <c r="C43" t="s">
        <v>66</v>
      </c>
      <c r="D43" s="2">
        <v>4</v>
      </c>
      <c r="E43" s="2">
        <v>54</v>
      </c>
      <c r="F43" s="3">
        <v>0.67600000000000005</v>
      </c>
      <c r="G43" s="3">
        <v>3.2899999999999999E-2</v>
      </c>
      <c r="H43" s="4">
        <v>3.6200000000000002E-4</v>
      </c>
      <c r="I43" s="3">
        <v>7.0900000000000005E-2</v>
      </c>
      <c r="J43" s="3" t="s">
        <v>48</v>
      </c>
      <c r="K43" s="2">
        <v>130</v>
      </c>
      <c r="L43" s="2">
        <v>214</v>
      </c>
      <c r="M43">
        <f t="shared" ca="1" si="0"/>
        <v>0.70431421583863907</v>
      </c>
    </row>
    <row r="44" spans="1:13" x14ac:dyDescent="0.4">
      <c r="A44" t="s">
        <v>137</v>
      </c>
      <c r="B44" t="s">
        <v>138</v>
      </c>
      <c r="C44" t="s">
        <v>84</v>
      </c>
      <c r="D44" s="2">
        <v>21</v>
      </c>
      <c r="E44" s="2">
        <v>5</v>
      </c>
      <c r="F44" s="3">
        <v>0.70499999999999996</v>
      </c>
      <c r="G44" s="3">
        <v>0.32900000000000001</v>
      </c>
      <c r="H44" s="3">
        <v>1.37E-2</v>
      </c>
      <c r="I44" s="3">
        <v>0</v>
      </c>
      <c r="J44" s="3" t="s">
        <v>48</v>
      </c>
      <c r="K44" s="2">
        <v>170</v>
      </c>
      <c r="L44" s="2">
        <v>234</v>
      </c>
      <c r="M44">
        <f t="shared" ca="1" si="0"/>
        <v>0.77249861855503077</v>
      </c>
    </row>
    <row r="45" spans="1:13" x14ac:dyDescent="0.4">
      <c r="A45" t="s">
        <v>139</v>
      </c>
      <c r="B45" t="s">
        <v>140</v>
      </c>
      <c r="C45" t="s">
        <v>84</v>
      </c>
      <c r="D45" s="2">
        <v>3</v>
      </c>
      <c r="E45" s="2">
        <v>41</v>
      </c>
      <c r="F45" s="3">
        <v>0.64400000000000002</v>
      </c>
      <c r="G45" s="3">
        <v>6.88E-2</v>
      </c>
      <c r="H45" s="3">
        <v>3.29E-3</v>
      </c>
      <c r="I45" s="3">
        <v>0</v>
      </c>
      <c r="J45" s="3" t="s">
        <v>48</v>
      </c>
      <c r="K45" s="2">
        <v>109</v>
      </c>
      <c r="L45" s="2">
        <v>125</v>
      </c>
      <c r="M45">
        <f t="shared" ca="1" si="0"/>
        <v>0.83323577135130134</v>
      </c>
    </row>
    <row r="46" spans="1:13" x14ac:dyDescent="0.4">
      <c r="A46" t="s">
        <v>141</v>
      </c>
      <c r="B46" t="s">
        <v>142</v>
      </c>
      <c r="C46" t="s">
        <v>84</v>
      </c>
      <c r="D46" s="2">
        <v>19</v>
      </c>
      <c r="E46" s="2">
        <v>3</v>
      </c>
      <c r="F46" s="3">
        <v>0.28599999999999998</v>
      </c>
      <c r="G46" s="3">
        <v>0.34399999999999997</v>
      </c>
      <c r="H46" s="4">
        <v>4.6499999999999999E-5</v>
      </c>
      <c r="I46" s="4">
        <v>8.0699999999999996E-5</v>
      </c>
      <c r="J46" s="3" t="s">
        <v>48</v>
      </c>
      <c r="K46" s="2">
        <v>87</v>
      </c>
      <c r="L46" s="2">
        <v>364</v>
      </c>
      <c r="M46">
        <f t="shared" ca="1" si="0"/>
        <v>0.4572434731069791</v>
      </c>
    </row>
    <row r="47" spans="1:13" x14ac:dyDescent="0.4">
      <c r="A47" t="s">
        <v>143</v>
      </c>
      <c r="B47" t="s">
        <v>144</v>
      </c>
      <c r="C47" t="s">
        <v>56</v>
      </c>
      <c r="D47" s="2">
        <v>6</v>
      </c>
      <c r="E47" s="2">
        <v>37</v>
      </c>
      <c r="F47" s="3">
        <v>0.72599999999999998</v>
      </c>
      <c r="G47" s="3">
        <v>4.3299999999999998E-2</v>
      </c>
      <c r="H47" s="3">
        <v>2.1600000000000001E-2</v>
      </c>
      <c r="I47" s="3">
        <v>0.61099999999999999</v>
      </c>
      <c r="J47" s="3" t="s">
        <v>48</v>
      </c>
      <c r="K47" s="2">
        <v>128</v>
      </c>
      <c r="L47" s="2">
        <v>214</v>
      </c>
      <c r="M47">
        <f t="shared" ca="1" si="0"/>
        <v>0.75915551163088968</v>
      </c>
    </row>
    <row r="48" spans="1:13" x14ac:dyDescent="0.4">
      <c r="A48" t="s">
        <v>145</v>
      </c>
      <c r="B48" t="s">
        <v>146</v>
      </c>
      <c r="C48" t="s">
        <v>56</v>
      </c>
      <c r="D48" s="2">
        <v>0</v>
      </c>
      <c r="E48" s="2">
        <v>54</v>
      </c>
      <c r="F48" s="3">
        <v>0.52100000000000002</v>
      </c>
      <c r="G48" s="3">
        <v>4.4299999999999999E-2</v>
      </c>
      <c r="H48" s="3">
        <v>2.47E-3</v>
      </c>
      <c r="I48" s="3">
        <v>1.08E-3</v>
      </c>
      <c r="J48" s="3" t="s">
        <v>48</v>
      </c>
      <c r="K48" s="2">
        <v>126</v>
      </c>
      <c r="L48" s="2">
        <v>220</v>
      </c>
      <c r="M48">
        <f t="shared" ca="1" si="0"/>
        <v>0.91598349350122787</v>
      </c>
    </row>
    <row r="49" spans="1:13" x14ac:dyDescent="0.4">
      <c r="A49" t="s">
        <v>147</v>
      </c>
      <c r="B49" t="s">
        <v>148</v>
      </c>
      <c r="C49" t="s">
        <v>61</v>
      </c>
      <c r="D49" s="2">
        <v>3</v>
      </c>
      <c r="E49" s="2">
        <v>10</v>
      </c>
      <c r="F49" s="3">
        <v>0.28999999999999998</v>
      </c>
      <c r="G49" s="3">
        <v>3.1300000000000001E-2</v>
      </c>
      <c r="H49" s="3">
        <v>1.2800000000000001E-3</v>
      </c>
      <c r="I49" s="3">
        <v>0.64100000000000001</v>
      </c>
      <c r="J49" s="3" t="s">
        <v>67</v>
      </c>
      <c r="K49" s="2">
        <v>90</v>
      </c>
      <c r="L49" s="2">
        <v>300</v>
      </c>
      <c r="M49">
        <f t="shared" ca="1" si="0"/>
        <v>0.55759809196076937</v>
      </c>
    </row>
    <row r="50" spans="1:13" x14ac:dyDescent="0.4">
      <c r="A50" t="s">
        <v>149</v>
      </c>
      <c r="B50" t="s">
        <v>150</v>
      </c>
      <c r="C50" t="s">
        <v>56</v>
      </c>
      <c r="D50" s="2">
        <v>1</v>
      </c>
      <c r="E50" s="2">
        <v>41</v>
      </c>
      <c r="F50" s="3">
        <v>0.58099999999999996</v>
      </c>
      <c r="G50" s="3">
        <v>3.0700000000000002E-2</v>
      </c>
      <c r="H50" s="3">
        <v>7.4700000000000003E-2</v>
      </c>
      <c r="I50" s="3">
        <v>0</v>
      </c>
      <c r="J50" s="3" t="s">
        <v>48</v>
      </c>
      <c r="K50" s="2">
        <v>142</v>
      </c>
      <c r="L50" s="2">
        <v>226</v>
      </c>
      <c r="M50">
        <f t="shared" ca="1" si="0"/>
        <v>0.47684242684644484</v>
      </c>
    </row>
    <row r="51" spans="1:13" x14ac:dyDescent="0.4">
      <c r="A51" t="s">
        <v>151</v>
      </c>
      <c r="B51" t="s">
        <v>152</v>
      </c>
      <c r="C51" t="s">
        <v>61</v>
      </c>
      <c r="D51" s="2">
        <v>1</v>
      </c>
      <c r="E51" s="2">
        <v>29</v>
      </c>
      <c r="F51" s="3">
        <v>0.16200000000000001</v>
      </c>
      <c r="G51" s="3">
        <v>0.10100000000000001</v>
      </c>
      <c r="H51" s="4">
        <v>8.2600000000000002E-5</v>
      </c>
      <c r="I51" s="4">
        <v>3.88E-4</v>
      </c>
      <c r="J51" s="3" t="s">
        <v>48</v>
      </c>
      <c r="K51" s="2">
        <v>180</v>
      </c>
      <c r="L51" s="2">
        <v>318</v>
      </c>
      <c r="M51">
        <f t="shared" ca="1" si="0"/>
        <v>0.51284297852095739</v>
      </c>
    </row>
    <row r="52" spans="1:13" x14ac:dyDescent="0.4">
      <c r="A52" t="s">
        <v>153</v>
      </c>
      <c r="B52" t="s">
        <v>154</v>
      </c>
      <c r="C52" t="s">
        <v>47</v>
      </c>
      <c r="D52" s="2">
        <v>15</v>
      </c>
      <c r="E52" s="2">
        <v>80</v>
      </c>
      <c r="F52" s="3">
        <v>0.65700000000000003</v>
      </c>
      <c r="G52" s="3">
        <v>2.93E-2</v>
      </c>
      <c r="H52" s="3">
        <v>0.872</v>
      </c>
      <c r="I52" s="3">
        <v>0</v>
      </c>
      <c r="J52" s="3" t="s">
        <v>67</v>
      </c>
      <c r="K52" s="2">
        <v>104</v>
      </c>
      <c r="L52" s="2">
        <v>233</v>
      </c>
      <c r="M52">
        <f t="shared" ca="1" si="0"/>
        <v>0.60950804224580124</v>
      </c>
    </row>
    <row r="53" spans="1:13" x14ac:dyDescent="0.4">
      <c r="A53" t="s">
        <v>155</v>
      </c>
      <c r="B53" t="s">
        <v>156</v>
      </c>
      <c r="C53" t="s">
        <v>47</v>
      </c>
      <c r="D53" s="2">
        <v>1</v>
      </c>
      <c r="E53" s="2">
        <v>60</v>
      </c>
      <c r="F53" s="3">
        <v>0.623</v>
      </c>
      <c r="G53" s="3">
        <v>0.23499999999999999</v>
      </c>
      <c r="H53" s="3">
        <v>0.32400000000000001</v>
      </c>
      <c r="I53" s="4">
        <v>3.3100000000000001E-6</v>
      </c>
      <c r="J53" s="3" t="s">
        <v>48</v>
      </c>
      <c r="K53" s="2">
        <v>91</v>
      </c>
      <c r="L53" s="2">
        <v>205</v>
      </c>
      <c r="M53">
        <f t="shared" ca="1" si="0"/>
        <v>0.94170831114330678</v>
      </c>
    </row>
    <row r="54" spans="1:13" x14ac:dyDescent="0.4">
      <c r="A54" t="s">
        <v>157</v>
      </c>
      <c r="B54" t="s">
        <v>158</v>
      </c>
      <c r="C54" t="s">
        <v>56</v>
      </c>
      <c r="D54" s="2">
        <v>4</v>
      </c>
      <c r="E54" s="2">
        <v>17</v>
      </c>
      <c r="F54" s="3">
        <v>0.503</v>
      </c>
      <c r="G54" s="3">
        <v>4.7699999999999999E-2</v>
      </c>
      <c r="H54" s="3">
        <v>0.109</v>
      </c>
      <c r="I54" s="4">
        <v>4.8400000000000002E-6</v>
      </c>
      <c r="J54" s="3" t="s">
        <v>48</v>
      </c>
      <c r="K54" s="2">
        <v>95</v>
      </c>
      <c r="L54" s="2">
        <v>273</v>
      </c>
      <c r="M54">
        <f t="shared" ca="1" si="0"/>
        <v>0.67095159796394344</v>
      </c>
    </row>
    <row r="55" spans="1:13" x14ac:dyDescent="0.4">
      <c r="A55" t="s">
        <v>159</v>
      </c>
      <c r="B55" t="s">
        <v>160</v>
      </c>
      <c r="C55" t="s">
        <v>61</v>
      </c>
      <c r="D55" s="2">
        <v>1</v>
      </c>
      <c r="E55" s="2">
        <v>36</v>
      </c>
      <c r="F55" s="3">
        <v>0.59299999999999997</v>
      </c>
      <c r="G55" s="3">
        <v>3.5700000000000003E-2</v>
      </c>
      <c r="H55" s="3">
        <v>0.628</v>
      </c>
      <c r="I55" s="3">
        <v>1.39E-3</v>
      </c>
      <c r="J55" s="3" t="s">
        <v>67</v>
      </c>
      <c r="K55" s="2">
        <v>167</v>
      </c>
      <c r="L55" s="2">
        <v>203</v>
      </c>
      <c r="M55">
        <f t="shared" ca="1" si="0"/>
        <v>0.39739725136478088</v>
      </c>
    </row>
    <row r="56" spans="1:13" x14ac:dyDescent="0.4">
      <c r="A56" t="s">
        <v>161</v>
      </c>
      <c r="B56" t="s">
        <v>162</v>
      </c>
      <c r="C56" t="s">
        <v>47</v>
      </c>
      <c r="D56" s="2">
        <v>0</v>
      </c>
      <c r="E56" s="2">
        <v>62</v>
      </c>
      <c r="F56" s="3">
        <v>0.92600000000000005</v>
      </c>
      <c r="G56" s="3">
        <v>4.7100000000000003E-2</v>
      </c>
      <c r="H56" s="3">
        <v>0.37</v>
      </c>
      <c r="I56" s="4">
        <v>7.7799999999999994E-5</v>
      </c>
      <c r="J56" s="3" t="s">
        <v>67</v>
      </c>
      <c r="K56" s="2">
        <v>128</v>
      </c>
      <c r="L56" s="2">
        <v>167</v>
      </c>
      <c r="M56">
        <f t="shared" ca="1" si="0"/>
        <v>6.2303557535296261E-2</v>
      </c>
    </row>
    <row r="57" spans="1:13" x14ac:dyDescent="0.4">
      <c r="A57" t="s">
        <v>163</v>
      </c>
      <c r="B57" t="s">
        <v>164</v>
      </c>
      <c r="C57" t="s">
        <v>84</v>
      </c>
      <c r="D57" s="2">
        <v>2</v>
      </c>
      <c r="E57" s="2">
        <v>47</v>
      </c>
      <c r="F57" s="3">
        <v>0.91400000000000003</v>
      </c>
      <c r="G57" s="3">
        <v>0.41099999999999998</v>
      </c>
      <c r="H57" s="3">
        <v>0.30299999999999999</v>
      </c>
      <c r="I57" s="3">
        <v>0.48199999999999998</v>
      </c>
      <c r="J57" s="3" t="s">
        <v>67</v>
      </c>
      <c r="K57" s="2">
        <v>88</v>
      </c>
      <c r="L57" s="2">
        <v>109</v>
      </c>
      <c r="M57">
        <f t="shared" ca="1" si="0"/>
        <v>2.1002539243840657E-3</v>
      </c>
    </row>
    <row r="58" spans="1:13" x14ac:dyDescent="0.4">
      <c r="A58" t="s">
        <v>165</v>
      </c>
      <c r="B58" t="s">
        <v>166</v>
      </c>
      <c r="C58" t="s">
        <v>66</v>
      </c>
      <c r="D58" s="2">
        <v>1</v>
      </c>
      <c r="E58" s="2">
        <v>18</v>
      </c>
      <c r="F58" s="3">
        <v>0.80500000000000005</v>
      </c>
      <c r="G58" s="3">
        <v>3.6799999999999999E-2</v>
      </c>
      <c r="H58" s="3">
        <v>0.28100000000000003</v>
      </c>
      <c r="I58" s="3">
        <v>0</v>
      </c>
      <c r="J58" s="3" t="s">
        <v>48</v>
      </c>
      <c r="K58" s="2">
        <v>108</v>
      </c>
      <c r="L58" s="2">
        <v>172</v>
      </c>
      <c r="M58">
        <f t="shared" ca="1" si="0"/>
        <v>0.39802460199446144</v>
      </c>
    </row>
    <row r="59" spans="1:13" x14ac:dyDescent="0.4">
      <c r="A59" t="s">
        <v>167</v>
      </c>
      <c r="B59" t="s">
        <v>168</v>
      </c>
      <c r="C59" t="s">
        <v>53</v>
      </c>
      <c r="D59" s="2">
        <v>1</v>
      </c>
      <c r="E59" s="2">
        <v>53</v>
      </c>
      <c r="F59" s="3">
        <v>0.84599999999999997</v>
      </c>
      <c r="G59" s="3">
        <v>4.4400000000000002E-2</v>
      </c>
      <c r="H59" s="3">
        <v>0.56699999999999995</v>
      </c>
      <c r="I59" s="3">
        <v>0.13900000000000001</v>
      </c>
      <c r="J59" s="3" t="s">
        <v>48</v>
      </c>
      <c r="K59" s="2">
        <v>103</v>
      </c>
      <c r="L59" s="2">
        <v>197</v>
      </c>
      <c r="M59">
        <f t="shared" ca="1" si="0"/>
        <v>0.48183724295294683</v>
      </c>
    </row>
    <row r="60" spans="1:13" x14ac:dyDescent="0.4">
      <c r="A60" t="s">
        <v>169</v>
      </c>
      <c r="B60" t="s">
        <v>170</v>
      </c>
      <c r="C60" t="s">
        <v>66</v>
      </c>
      <c r="D60" s="2">
        <v>3</v>
      </c>
      <c r="E60" s="2">
        <v>52</v>
      </c>
      <c r="F60" s="3">
        <v>0.436</v>
      </c>
      <c r="G60" s="3">
        <v>3.9399999999999998E-2</v>
      </c>
      <c r="H60" s="3">
        <v>9.1400000000000006E-3</v>
      </c>
      <c r="I60" s="3">
        <v>0</v>
      </c>
      <c r="J60" s="3" t="s">
        <v>48</v>
      </c>
      <c r="K60" s="2">
        <v>94</v>
      </c>
      <c r="L60" s="2">
        <v>506</v>
      </c>
      <c r="M60">
        <f t="shared" ca="1" si="0"/>
        <v>0.81624371836947618</v>
      </c>
    </row>
    <row r="61" spans="1:13" x14ac:dyDescent="0.4">
      <c r="A61" t="s">
        <v>171</v>
      </c>
      <c r="B61" t="s">
        <v>172</v>
      </c>
      <c r="C61" t="s">
        <v>47</v>
      </c>
      <c r="D61" s="2">
        <v>4</v>
      </c>
      <c r="E61" s="2">
        <v>59</v>
      </c>
      <c r="F61" s="3">
        <v>0.34200000000000003</v>
      </c>
      <c r="G61" s="3">
        <v>9.4299999999999995E-2</v>
      </c>
      <c r="H61" s="3">
        <v>0.185</v>
      </c>
      <c r="I61" s="4">
        <v>5.1999999999999995E-4</v>
      </c>
      <c r="J61" s="3" t="s">
        <v>48</v>
      </c>
      <c r="K61" s="2">
        <v>83</v>
      </c>
      <c r="L61" s="2">
        <v>262</v>
      </c>
      <c r="M61">
        <f t="shared" ca="1" si="0"/>
        <v>0.58344131782242192</v>
      </c>
    </row>
    <row r="62" spans="1:13" x14ac:dyDescent="0.4">
      <c r="A62" t="s">
        <v>173</v>
      </c>
      <c r="B62" t="s">
        <v>174</v>
      </c>
      <c r="C62" t="s">
        <v>47</v>
      </c>
      <c r="D62" s="2">
        <v>5</v>
      </c>
      <c r="E62" s="2">
        <v>66</v>
      </c>
      <c r="F62" s="3">
        <v>0.68500000000000005</v>
      </c>
      <c r="G62" s="3">
        <v>3.8300000000000001E-2</v>
      </c>
      <c r="H62" s="3">
        <v>0.437</v>
      </c>
      <c r="I62" s="3">
        <v>0</v>
      </c>
      <c r="J62" s="3" t="s">
        <v>48</v>
      </c>
      <c r="K62" s="2">
        <v>128</v>
      </c>
      <c r="L62" s="2">
        <v>230</v>
      </c>
      <c r="M62">
        <f t="shared" ca="1" si="0"/>
        <v>0.62729544440423268</v>
      </c>
    </row>
    <row r="63" spans="1:13" x14ac:dyDescent="0.4">
      <c r="A63" t="s">
        <v>175</v>
      </c>
      <c r="B63" t="s">
        <v>176</v>
      </c>
      <c r="C63" t="s">
        <v>84</v>
      </c>
      <c r="D63" s="2">
        <v>2</v>
      </c>
      <c r="E63" s="2">
        <v>46</v>
      </c>
      <c r="F63" s="3">
        <v>0.71899999999999997</v>
      </c>
      <c r="G63" s="3">
        <v>0.28599999999999998</v>
      </c>
      <c r="H63" s="3">
        <v>0.37</v>
      </c>
      <c r="I63" s="3">
        <v>0</v>
      </c>
      <c r="J63" s="3" t="s">
        <v>48</v>
      </c>
      <c r="K63" s="2">
        <v>84</v>
      </c>
      <c r="L63" s="2">
        <v>134</v>
      </c>
      <c r="M63">
        <f t="shared" ca="1" si="0"/>
        <v>0.37007495582112426</v>
      </c>
    </row>
    <row r="64" spans="1:13" x14ac:dyDescent="0.4">
      <c r="A64" t="s">
        <v>177</v>
      </c>
      <c r="B64" t="s">
        <v>178</v>
      </c>
      <c r="C64" t="s">
        <v>53</v>
      </c>
      <c r="D64" s="2">
        <v>4</v>
      </c>
      <c r="E64" s="2">
        <v>63</v>
      </c>
      <c r="F64" s="3">
        <v>0.77500000000000002</v>
      </c>
      <c r="G64" s="3">
        <v>9.1600000000000001E-2</v>
      </c>
      <c r="H64" s="3">
        <v>5.67E-2</v>
      </c>
      <c r="I64" s="3">
        <v>0</v>
      </c>
      <c r="J64" s="3" t="s">
        <v>48</v>
      </c>
      <c r="K64" s="2">
        <v>93</v>
      </c>
      <c r="L64" s="2">
        <v>196</v>
      </c>
      <c r="M64">
        <f t="shared" ca="1" si="0"/>
        <v>0.71745307224117738</v>
      </c>
    </row>
    <row r="65" spans="1:13" x14ac:dyDescent="0.4">
      <c r="A65" t="s">
        <v>179</v>
      </c>
      <c r="B65" t="s">
        <v>180</v>
      </c>
      <c r="C65" t="s">
        <v>53</v>
      </c>
      <c r="D65" s="2">
        <v>18</v>
      </c>
      <c r="E65" s="2">
        <v>67</v>
      </c>
      <c r="F65" s="3">
        <v>0.48599999999999999</v>
      </c>
      <c r="G65" s="3">
        <v>5.1900000000000002E-2</v>
      </c>
      <c r="H65" s="3">
        <v>0.29199999999999998</v>
      </c>
      <c r="I65" s="3">
        <v>0</v>
      </c>
      <c r="J65" s="3" t="s">
        <v>48</v>
      </c>
      <c r="K65" s="2">
        <v>84</v>
      </c>
      <c r="L65" s="2">
        <v>238</v>
      </c>
      <c r="M65">
        <f t="shared" ca="1" si="0"/>
        <v>0.78025287191777892</v>
      </c>
    </row>
    <row r="66" spans="1:13" x14ac:dyDescent="0.4">
      <c r="A66" t="s">
        <v>181</v>
      </c>
      <c r="B66" t="s">
        <v>182</v>
      </c>
      <c r="C66" t="s">
        <v>61</v>
      </c>
      <c r="D66" s="2">
        <v>32</v>
      </c>
      <c r="E66" s="2">
        <v>63</v>
      </c>
      <c r="F66" s="3">
        <v>0.52900000000000003</v>
      </c>
      <c r="G66" s="3">
        <v>4.2000000000000003E-2</v>
      </c>
      <c r="H66" s="3">
        <v>1.2600000000000001E-3</v>
      </c>
      <c r="I66" s="3">
        <v>1.48E-3</v>
      </c>
      <c r="J66" s="3" t="s">
        <v>48</v>
      </c>
      <c r="K66" s="2">
        <v>142</v>
      </c>
      <c r="L66" s="2">
        <v>236</v>
      </c>
      <c r="M66">
        <f t="shared" ref="M66:M129" ca="1" si="1">RAND()</f>
        <v>0.61153188531235603</v>
      </c>
    </row>
    <row r="67" spans="1:13" x14ac:dyDescent="0.4">
      <c r="A67" t="s">
        <v>183</v>
      </c>
      <c r="B67" t="s">
        <v>184</v>
      </c>
      <c r="C67" t="s">
        <v>56</v>
      </c>
      <c r="D67" s="2">
        <v>4</v>
      </c>
      <c r="E67" s="2">
        <v>5</v>
      </c>
      <c r="F67" s="3">
        <v>0.83199999999999996</v>
      </c>
      <c r="G67" s="3">
        <v>9.9199999999999997E-2</v>
      </c>
      <c r="H67" s="3">
        <v>9.9699999999999997E-3</v>
      </c>
      <c r="I67" s="3">
        <v>4.2500000000000003E-3</v>
      </c>
      <c r="J67" s="3" t="s">
        <v>48</v>
      </c>
      <c r="K67" s="2">
        <v>118</v>
      </c>
      <c r="L67" s="2">
        <v>257</v>
      </c>
      <c r="M67">
        <f t="shared" ca="1" si="1"/>
        <v>0.10617389287026846</v>
      </c>
    </row>
    <row r="68" spans="1:13" x14ac:dyDescent="0.4">
      <c r="A68" t="s">
        <v>185</v>
      </c>
      <c r="B68" t="s">
        <v>186</v>
      </c>
      <c r="C68" t="s">
        <v>53</v>
      </c>
      <c r="D68" s="2">
        <v>3</v>
      </c>
      <c r="E68" s="2">
        <v>58</v>
      </c>
      <c r="F68" s="3">
        <v>0.85</v>
      </c>
      <c r="G68" s="3">
        <v>0.115</v>
      </c>
      <c r="H68" s="3">
        <v>0.23100000000000001</v>
      </c>
      <c r="I68" s="3">
        <v>0</v>
      </c>
      <c r="J68" s="3" t="s">
        <v>48</v>
      </c>
      <c r="K68" s="2">
        <v>148</v>
      </c>
      <c r="L68" s="2">
        <v>221</v>
      </c>
      <c r="M68">
        <f t="shared" ca="1" si="1"/>
        <v>0.87809902351504554</v>
      </c>
    </row>
    <row r="69" spans="1:13" x14ac:dyDescent="0.4">
      <c r="A69" t="s">
        <v>187</v>
      </c>
      <c r="B69" t="s">
        <v>188</v>
      </c>
      <c r="C69" t="s">
        <v>66</v>
      </c>
      <c r="D69" s="2">
        <v>30</v>
      </c>
      <c r="E69" s="2">
        <v>2</v>
      </c>
      <c r="F69" s="3">
        <v>0.73599999999999999</v>
      </c>
      <c r="G69" s="3">
        <v>7.8200000000000006E-2</v>
      </c>
      <c r="H69" s="3">
        <v>6.6E-3</v>
      </c>
      <c r="I69" s="4">
        <v>9.7900000000000005E-4</v>
      </c>
      <c r="J69" s="3" t="s">
        <v>67</v>
      </c>
      <c r="K69" s="2">
        <v>107</v>
      </c>
      <c r="L69" s="2">
        <v>282</v>
      </c>
      <c r="M69">
        <f t="shared" ca="1" si="1"/>
        <v>0.23425664093794285</v>
      </c>
    </row>
    <row r="70" spans="1:13" x14ac:dyDescent="0.4">
      <c r="A70" t="s">
        <v>189</v>
      </c>
      <c r="B70" t="s">
        <v>190</v>
      </c>
      <c r="C70" t="s">
        <v>56</v>
      </c>
      <c r="D70" s="2">
        <v>4</v>
      </c>
      <c r="E70" s="2">
        <v>61</v>
      </c>
      <c r="F70" s="3">
        <v>0.75800000000000001</v>
      </c>
      <c r="G70" s="3">
        <v>3.2000000000000001E-2</v>
      </c>
      <c r="H70" s="3">
        <v>0.35699999999999998</v>
      </c>
      <c r="I70" s="4">
        <v>6.9899999999999997E-4</v>
      </c>
      <c r="J70" s="3" t="s">
        <v>67</v>
      </c>
      <c r="K70" s="2">
        <v>120</v>
      </c>
      <c r="L70" s="2">
        <v>292</v>
      </c>
      <c r="M70">
        <f t="shared" ca="1" si="1"/>
        <v>0.56021722473255509</v>
      </c>
    </row>
    <row r="71" spans="1:13" x14ac:dyDescent="0.4">
      <c r="A71" t="s">
        <v>191</v>
      </c>
      <c r="B71" t="s">
        <v>192</v>
      </c>
      <c r="C71" t="s">
        <v>84</v>
      </c>
      <c r="D71" s="2">
        <v>27</v>
      </c>
      <c r="E71" s="2">
        <v>72</v>
      </c>
      <c r="F71" s="3">
        <v>0.54900000000000004</v>
      </c>
      <c r="G71" s="3">
        <v>0.188</v>
      </c>
      <c r="H71" s="3">
        <v>2.8500000000000001E-2</v>
      </c>
      <c r="I71" s="4">
        <v>2.9599999999999998E-4</v>
      </c>
      <c r="J71" s="3" t="s">
        <v>48</v>
      </c>
      <c r="K71" s="2">
        <v>95</v>
      </c>
      <c r="L71" s="2">
        <v>211</v>
      </c>
      <c r="M71">
        <f t="shared" ca="1" si="1"/>
        <v>0.60670342894166807</v>
      </c>
    </row>
    <row r="72" spans="1:13" x14ac:dyDescent="0.4">
      <c r="A72" t="s">
        <v>193</v>
      </c>
      <c r="B72" t="s">
        <v>194</v>
      </c>
      <c r="C72" t="s">
        <v>47</v>
      </c>
      <c r="D72" s="2">
        <v>1</v>
      </c>
      <c r="E72" s="2">
        <v>77</v>
      </c>
      <c r="F72" s="3">
        <v>0.53200000000000003</v>
      </c>
      <c r="G72" s="3">
        <v>8.2500000000000004E-2</v>
      </c>
      <c r="H72" s="3">
        <v>0.105</v>
      </c>
      <c r="I72" s="4">
        <v>2.22E-4</v>
      </c>
      <c r="J72" s="3" t="s">
        <v>48</v>
      </c>
      <c r="K72" s="2">
        <v>130</v>
      </c>
      <c r="L72" s="2">
        <v>189</v>
      </c>
      <c r="M72">
        <f t="shared" ca="1" si="1"/>
        <v>0.50707945083077521</v>
      </c>
    </row>
    <row r="73" spans="1:13" x14ac:dyDescent="0.4">
      <c r="A73" t="s">
        <v>195</v>
      </c>
      <c r="B73" t="s">
        <v>196</v>
      </c>
      <c r="C73" t="s">
        <v>53</v>
      </c>
      <c r="D73" s="2">
        <v>34</v>
      </c>
      <c r="E73" s="2">
        <v>38</v>
      </c>
      <c r="F73" s="3">
        <v>0.69099999999999995</v>
      </c>
      <c r="G73" s="3">
        <v>0.05</v>
      </c>
      <c r="H73" s="3">
        <v>1.9300000000000001E-2</v>
      </c>
      <c r="I73" s="3">
        <v>7.0099999999999996E-2</v>
      </c>
      <c r="J73" s="3" t="s">
        <v>48</v>
      </c>
      <c r="K73" s="2">
        <v>109</v>
      </c>
      <c r="L73" s="2">
        <v>266</v>
      </c>
      <c r="M73">
        <f t="shared" ca="1" si="1"/>
        <v>0.59658819994322476</v>
      </c>
    </row>
    <row r="74" spans="1:13" x14ac:dyDescent="0.4">
      <c r="A74" t="s">
        <v>197</v>
      </c>
      <c r="B74" t="s">
        <v>198</v>
      </c>
      <c r="C74" t="s">
        <v>56</v>
      </c>
      <c r="D74" s="2">
        <v>1</v>
      </c>
      <c r="E74" s="2">
        <v>33</v>
      </c>
      <c r="F74" s="3">
        <v>0.68799999999999994</v>
      </c>
      <c r="G74" s="3">
        <v>6.9400000000000003E-2</v>
      </c>
      <c r="H74" s="3">
        <v>0.83899999999999997</v>
      </c>
      <c r="I74" s="3">
        <v>0.86399999999999999</v>
      </c>
      <c r="J74" s="3" t="s">
        <v>67</v>
      </c>
      <c r="K74" s="2">
        <v>116</v>
      </c>
      <c r="L74" s="2">
        <v>228</v>
      </c>
      <c r="M74">
        <f t="shared" ca="1" si="1"/>
        <v>0.95922933902214091</v>
      </c>
    </row>
    <row r="75" spans="1:13" x14ac:dyDescent="0.4">
      <c r="A75" t="s">
        <v>199</v>
      </c>
      <c r="B75" t="s">
        <v>200</v>
      </c>
      <c r="C75" t="s">
        <v>53</v>
      </c>
      <c r="D75" s="2">
        <v>4</v>
      </c>
      <c r="E75" s="2">
        <v>9</v>
      </c>
      <c r="F75" s="3">
        <v>0.64500000000000002</v>
      </c>
      <c r="G75" s="3">
        <v>8.7099999999999997E-2</v>
      </c>
      <c r="H75" s="3">
        <v>0.28999999999999998</v>
      </c>
      <c r="I75" s="3">
        <v>0</v>
      </c>
      <c r="J75" s="3" t="s">
        <v>48</v>
      </c>
      <c r="K75" s="2">
        <v>105</v>
      </c>
      <c r="L75" s="2">
        <v>205</v>
      </c>
      <c r="M75">
        <f t="shared" ca="1" si="1"/>
        <v>0.50419034355848347</v>
      </c>
    </row>
    <row r="76" spans="1:13" x14ac:dyDescent="0.4">
      <c r="A76" t="s">
        <v>201</v>
      </c>
      <c r="B76" t="s">
        <v>202</v>
      </c>
      <c r="C76" t="s">
        <v>61</v>
      </c>
      <c r="D76" s="2">
        <v>16</v>
      </c>
      <c r="E76" s="2">
        <v>31</v>
      </c>
      <c r="F76" s="3">
        <v>0.45600000000000002</v>
      </c>
      <c r="G76" s="3">
        <v>2.6499999999999999E-2</v>
      </c>
      <c r="H76" s="3">
        <v>0.252</v>
      </c>
      <c r="I76" s="3">
        <v>0</v>
      </c>
      <c r="J76" s="3" t="s">
        <v>48</v>
      </c>
      <c r="K76" s="2">
        <v>95</v>
      </c>
      <c r="L76" s="2">
        <v>263</v>
      </c>
      <c r="M76">
        <f t="shared" ca="1" si="1"/>
        <v>0.35524896452458954</v>
      </c>
    </row>
    <row r="77" spans="1:13" x14ac:dyDescent="0.4">
      <c r="A77" t="s">
        <v>203</v>
      </c>
      <c r="B77" t="s">
        <v>204</v>
      </c>
      <c r="C77" t="s">
        <v>47</v>
      </c>
      <c r="D77" s="2">
        <v>4</v>
      </c>
      <c r="E77" s="2">
        <v>13</v>
      </c>
      <c r="F77" s="3">
        <v>0.80300000000000005</v>
      </c>
      <c r="G77" s="3">
        <v>4.4400000000000002E-2</v>
      </c>
      <c r="H77" s="3">
        <v>0.10199999999999999</v>
      </c>
      <c r="I77" s="4">
        <v>7.3900000000000004E-6</v>
      </c>
      <c r="J77" s="3" t="s">
        <v>48</v>
      </c>
      <c r="K77" s="2">
        <v>105</v>
      </c>
      <c r="L77" s="2">
        <v>217</v>
      </c>
      <c r="M77">
        <f t="shared" ca="1" si="1"/>
        <v>0.29297721115428166</v>
      </c>
    </row>
    <row r="78" spans="1:13" x14ac:dyDescent="0.4">
      <c r="A78" t="s">
        <v>205</v>
      </c>
      <c r="B78" t="s">
        <v>206</v>
      </c>
      <c r="C78" t="s">
        <v>61</v>
      </c>
      <c r="D78" s="2">
        <v>48</v>
      </c>
      <c r="E78" s="2">
        <v>6</v>
      </c>
      <c r="F78" s="3">
        <v>0.27600000000000002</v>
      </c>
      <c r="G78" s="3">
        <v>2.9899999999999999E-2</v>
      </c>
      <c r="H78" s="3">
        <v>0.79500000000000004</v>
      </c>
      <c r="I78" s="4">
        <v>9.6700000000000006E-5</v>
      </c>
      <c r="J78" s="3" t="s">
        <v>67</v>
      </c>
      <c r="K78" s="2">
        <v>84</v>
      </c>
      <c r="L78" s="2">
        <v>293</v>
      </c>
      <c r="M78">
        <f t="shared" ca="1" si="1"/>
        <v>0.33125496324528725</v>
      </c>
    </row>
    <row r="79" spans="1:13" x14ac:dyDescent="0.4">
      <c r="A79" t="s">
        <v>207</v>
      </c>
      <c r="B79" t="s">
        <v>208</v>
      </c>
      <c r="C79" t="s">
        <v>47</v>
      </c>
      <c r="D79" s="2">
        <v>1</v>
      </c>
      <c r="E79" s="2">
        <v>62</v>
      </c>
      <c r="F79" s="3">
        <v>0.57699999999999996</v>
      </c>
      <c r="G79" s="3">
        <v>5.33E-2</v>
      </c>
      <c r="H79" s="3">
        <v>4.9099999999999998E-2</v>
      </c>
      <c r="I79" s="4">
        <v>1.24E-6</v>
      </c>
      <c r="J79" s="3" t="s">
        <v>48</v>
      </c>
      <c r="K79" s="2">
        <v>79</v>
      </c>
      <c r="L79" s="2">
        <v>198</v>
      </c>
      <c r="M79">
        <f t="shared" ca="1" si="1"/>
        <v>0.11460928591356512</v>
      </c>
    </row>
    <row r="80" spans="1:13" x14ac:dyDescent="0.4">
      <c r="A80" t="s">
        <v>209</v>
      </c>
      <c r="B80" t="s">
        <v>210</v>
      </c>
      <c r="C80" t="s">
        <v>47</v>
      </c>
      <c r="D80" s="2">
        <v>2</v>
      </c>
      <c r="E80" s="2">
        <v>38</v>
      </c>
      <c r="F80" s="3">
        <v>0.376</v>
      </c>
      <c r="G80" s="3">
        <v>0.24399999999999999</v>
      </c>
      <c r="H80" s="3">
        <v>0.39700000000000002</v>
      </c>
      <c r="I80" s="3">
        <v>0</v>
      </c>
      <c r="J80" s="3" t="s">
        <v>48</v>
      </c>
      <c r="K80" s="2">
        <v>95</v>
      </c>
      <c r="L80" s="2">
        <v>211</v>
      </c>
      <c r="M80">
        <f t="shared" ca="1" si="1"/>
        <v>0.75491534832389295</v>
      </c>
    </row>
    <row r="81" spans="1:13" x14ac:dyDescent="0.4">
      <c r="A81" t="s">
        <v>211</v>
      </c>
      <c r="B81" t="s">
        <v>212</v>
      </c>
      <c r="C81" t="s">
        <v>56</v>
      </c>
      <c r="D81" s="2">
        <v>6</v>
      </c>
      <c r="E81" s="2">
        <v>51</v>
      </c>
      <c r="F81" s="3">
        <v>0.65200000000000002</v>
      </c>
      <c r="G81" s="3">
        <v>3.0599999999999999E-2</v>
      </c>
      <c r="H81" s="3">
        <v>2.0899999999999998E-3</v>
      </c>
      <c r="I81" s="4">
        <v>7.0400000000000004E-5</v>
      </c>
      <c r="J81" s="3" t="s">
        <v>48</v>
      </c>
      <c r="K81" s="2">
        <v>128</v>
      </c>
      <c r="L81" s="2">
        <v>313</v>
      </c>
      <c r="M81">
        <f t="shared" ca="1" si="1"/>
        <v>0.68407541171563757</v>
      </c>
    </row>
    <row r="82" spans="1:13" x14ac:dyDescent="0.4">
      <c r="A82" t="s">
        <v>213</v>
      </c>
      <c r="B82" t="s">
        <v>214</v>
      </c>
      <c r="C82" t="s">
        <v>56</v>
      </c>
      <c r="D82" s="2">
        <v>7</v>
      </c>
      <c r="E82" s="2">
        <v>18</v>
      </c>
      <c r="F82" s="3">
        <v>0.41599999999999998</v>
      </c>
      <c r="G82" s="3">
        <v>5.96E-2</v>
      </c>
      <c r="H82" s="3">
        <v>6.3200000000000006E-2</v>
      </c>
      <c r="I82" s="3">
        <v>1.72E-2</v>
      </c>
      <c r="J82" s="3" t="s">
        <v>48</v>
      </c>
      <c r="K82" s="2">
        <v>128</v>
      </c>
      <c r="L82" s="2">
        <v>258</v>
      </c>
      <c r="M82">
        <f t="shared" ca="1" si="1"/>
        <v>0.22528397117914689</v>
      </c>
    </row>
    <row r="83" spans="1:13" x14ac:dyDescent="0.4">
      <c r="A83" t="s">
        <v>215</v>
      </c>
      <c r="B83" t="s">
        <v>216</v>
      </c>
      <c r="C83" t="s">
        <v>61</v>
      </c>
      <c r="D83" s="2">
        <v>48</v>
      </c>
      <c r="E83" s="2">
        <v>61</v>
      </c>
      <c r="F83" s="3">
        <v>0.45800000000000002</v>
      </c>
      <c r="G83" s="3">
        <v>2.9399999999999999E-2</v>
      </c>
      <c r="H83" s="3">
        <v>0.442</v>
      </c>
      <c r="I83" s="4">
        <v>5.5099999999999998E-6</v>
      </c>
      <c r="J83" s="3" t="s">
        <v>48</v>
      </c>
      <c r="K83" s="2">
        <v>122</v>
      </c>
      <c r="L83" s="2">
        <v>221</v>
      </c>
      <c r="M83">
        <f t="shared" ca="1" si="1"/>
        <v>5.9852607502212218E-2</v>
      </c>
    </row>
    <row r="84" spans="1:13" x14ac:dyDescent="0.4">
      <c r="A84" t="s">
        <v>217</v>
      </c>
      <c r="B84" t="s">
        <v>218</v>
      </c>
      <c r="C84" t="s">
        <v>66</v>
      </c>
      <c r="D84" s="2">
        <v>1</v>
      </c>
      <c r="E84" s="2">
        <v>12</v>
      </c>
      <c r="F84" s="3">
        <v>0.66500000000000004</v>
      </c>
      <c r="G84" s="3">
        <v>4.3299999999999998E-2</v>
      </c>
      <c r="H84" s="3">
        <v>0.66500000000000004</v>
      </c>
      <c r="I84" s="3">
        <v>0.378</v>
      </c>
      <c r="J84" s="3" t="s">
        <v>67</v>
      </c>
      <c r="K84" s="2">
        <v>78</v>
      </c>
      <c r="L84" s="2">
        <v>185</v>
      </c>
      <c r="M84">
        <f t="shared" ca="1" si="1"/>
        <v>1.7061891448947542E-2</v>
      </c>
    </row>
    <row r="85" spans="1:13" x14ac:dyDescent="0.4">
      <c r="A85" t="s">
        <v>219</v>
      </c>
      <c r="B85" t="s">
        <v>220</v>
      </c>
      <c r="C85" t="s">
        <v>56</v>
      </c>
      <c r="D85" s="2">
        <v>1</v>
      </c>
      <c r="E85" s="2">
        <v>43</v>
      </c>
      <c r="F85" s="3">
        <v>0.79700000000000004</v>
      </c>
      <c r="G85" s="3">
        <v>0.27800000000000002</v>
      </c>
      <c r="H85" s="3">
        <v>7.6999999999999999E-2</v>
      </c>
      <c r="I85" s="4">
        <v>4.3600000000000003E-5</v>
      </c>
      <c r="J85" s="3" t="s">
        <v>48</v>
      </c>
      <c r="K85" s="2">
        <v>124</v>
      </c>
      <c r="L85" s="2">
        <v>182</v>
      </c>
      <c r="M85">
        <f t="shared" ca="1" si="1"/>
        <v>0.91883931386073348</v>
      </c>
    </row>
    <row r="86" spans="1:13" x14ac:dyDescent="0.4">
      <c r="A86" t="s">
        <v>221</v>
      </c>
      <c r="B86" t="s">
        <v>222</v>
      </c>
      <c r="C86" t="s">
        <v>61</v>
      </c>
      <c r="D86" s="2">
        <v>14</v>
      </c>
      <c r="E86" s="2">
        <v>54</v>
      </c>
      <c r="F86" s="3">
        <v>0.50900000000000001</v>
      </c>
      <c r="G86" s="3">
        <v>3.3799999999999997E-2</v>
      </c>
      <c r="H86" s="3">
        <v>1.89E-3</v>
      </c>
      <c r="I86" s="4">
        <v>5.4900000000000001E-4</v>
      </c>
      <c r="J86" s="3" t="s">
        <v>48</v>
      </c>
      <c r="K86" s="2">
        <v>117</v>
      </c>
      <c r="L86" s="2">
        <v>265</v>
      </c>
      <c r="M86">
        <f t="shared" ca="1" si="1"/>
        <v>0.31747714037300501</v>
      </c>
    </row>
    <row r="87" spans="1:13" x14ac:dyDescent="0.4">
      <c r="A87" t="s">
        <v>223</v>
      </c>
      <c r="B87" t="s">
        <v>224</v>
      </c>
      <c r="C87" t="s">
        <v>66</v>
      </c>
      <c r="D87" s="2">
        <v>3</v>
      </c>
      <c r="E87" s="2">
        <v>56</v>
      </c>
      <c r="F87" s="3">
        <v>0.55100000000000005</v>
      </c>
      <c r="G87" s="3">
        <v>3.95E-2</v>
      </c>
      <c r="H87" s="3">
        <v>0.68100000000000005</v>
      </c>
      <c r="I87" s="4">
        <v>7.3200000000000004E-5</v>
      </c>
      <c r="J87" s="3" t="s">
        <v>67</v>
      </c>
      <c r="K87" s="2">
        <v>84</v>
      </c>
      <c r="L87" s="2">
        <v>243</v>
      </c>
      <c r="M87">
        <f t="shared" ca="1" si="1"/>
        <v>0.32277508084401674</v>
      </c>
    </row>
    <row r="88" spans="1:13" x14ac:dyDescent="0.4">
      <c r="A88" t="s">
        <v>225</v>
      </c>
      <c r="B88" t="s">
        <v>226</v>
      </c>
      <c r="C88" t="s">
        <v>56</v>
      </c>
      <c r="D88" s="2">
        <v>1</v>
      </c>
      <c r="E88" s="2">
        <v>12</v>
      </c>
      <c r="F88" s="3">
        <v>0.73899999999999999</v>
      </c>
      <c r="G88" s="3">
        <v>6.6900000000000001E-2</v>
      </c>
      <c r="H88" s="3">
        <v>1.4800000000000001E-2</v>
      </c>
      <c r="I88" s="3">
        <v>1.61E-2</v>
      </c>
      <c r="J88" s="3" t="s">
        <v>48</v>
      </c>
      <c r="K88" s="2">
        <v>125</v>
      </c>
      <c r="L88" s="2">
        <v>143</v>
      </c>
      <c r="M88">
        <f t="shared" ca="1" si="1"/>
        <v>0.91244966501276425</v>
      </c>
    </row>
    <row r="89" spans="1:13" x14ac:dyDescent="0.4">
      <c r="A89" t="s">
        <v>227</v>
      </c>
      <c r="B89" t="s">
        <v>228</v>
      </c>
      <c r="C89" t="s">
        <v>47</v>
      </c>
      <c r="D89" s="2">
        <v>1</v>
      </c>
      <c r="E89" s="2">
        <v>50</v>
      </c>
      <c r="F89" s="3">
        <v>0.54200000000000004</v>
      </c>
      <c r="G89" s="3">
        <v>3.1300000000000001E-2</v>
      </c>
      <c r="H89" s="4">
        <v>1.84E-4</v>
      </c>
      <c r="I89" s="4">
        <v>5.6300000000000003E-6</v>
      </c>
      <c r="J89" s="3" t="s">
        <v>48</v>
      </c>
      <c r="K89" s="2">
        <v>156</v>
      </c>
      <c r="L89" s="2">
        <v>178</v>
      </c>
      <c r="M89">
        <f t="shared" ca="1" si="1"/>
        <v>0.2709715402830879</v>
      </c>
    </row>
    <row r="90" spans="1:13" x14ac:dyDescent="0.4">
      <c r="A90" t="s">
        <v>229</v>
      </c>
      <c r="B90" t="s">
        <v>230</v>
      </c>
      <c r="C90" t="s">
        <v>53</v>
      </c>
      <c r="D90" s="2">
        <v>15</v>
      </c>
      <c r="E90" s="2">
        <v>43</v>
      </c>
      <c r="F90" s="3">
        <v>0.375</v>
      </c>
      <c r="G90" s="3">
        <v>4.1099999999999998E-2</v>
      </c>
      <c r="H90" s="3">
        <v>0.39800000000000002</v>
      </c>
      <c r="I90" s="3">
        <v>0</v>
      </c>
      <c r="J90" s="3" t="s">
        <v>48</v>
      </c>
      <c r="K90" s="2">
        <v>112</v>
      </c>
      <c r="L90" s="2">
        <v>271</v>
      </c>
      <c r="M90">
        <f t="shared" ca="1" si="1"/>
        <v>0.68436574828796926</v>
      </c>
    </row>
    <row r="91" spans="1:13" x14ac:dyDescent="0.4">
      <c r="A91" t="s">
        <v>231</v>
      </c>
      <c r="B91" t="s">
        <v>232</v>
      </c>
      <c r="C91" t="s">
        <v>66</v>
      </c>
      <c r="D91" s="2">
        <v>1</v>
      </c>
      <c r="E91" s="2">
        <v>29</v>
      </c>
      <c r="F91" s="3">
        <v>0.73299999999999998</v>
      </c>
      <c r="G91" s="3">
        <v>3.9899999999999998E-2</v>
      </c>
      <c r="H91" s="3">
        <v>4.1000000000000002E-2</v>
      </c>
      <c r="I91" s="3">
        <v>0</v>
      </c>
      <c r="J91" s="3" t="s">
        <v>48</v>
      </c>
      <c r="K91" s="2">
        <v>140</v>
      </c>
      <c r="L91" s="2">
        <v>192</v>
      </c>
      <c r="M91">
        <f t="shared" ca="1" si="1"/>
        <v>0.67977070229511294</v>
      </c>
    </row>
    <row r="92" spans="1:13" x14ac:dyDescent="0.4">
      <c r="A92" t="s">
        <v>233</v>
      </c>
      <c r="B92" t="s">
        <v>234</v>
      </c>
      <c r="C92" t="s">
        <v>84</v>
      </c>
      <c r="D92" s="2">
        <v>12</v>
      </c>
      <c r="E92" s="2">
        <v>55</v>
      </c>
      <c r="F92" s="3">
        <v>0.88700000000000001</v>
      </c>
      <c r="G92" s="3">
        <v>4.3400000000000001E-2</v>
      </c>
      <c r="H92" s="3">
        <v>9.3299999999999998E-3</v>
      </c>
      <c r="I92" s="3">
        <v>2.1299999999999999E-2</v>
      </c>
      <c r="J92" s="3" t="s">
        <v>48</v>
      </c>
      <c r="K92" s="2">
        <v>113</v>
      </c>
      <c r="L92" s="2">
        <v>183</v>
      </c>
      <c r="M92">
        <f t="shared" ca="1" si="1"/>
        <v>0.19590710092585983</v>
      </c>
    </row>
    <row r="93" spans="1:13" x14ac:dyDescent="0.4">
      <c r="A93" t="s">
        <v>235</v>
      </c>
      <c r="B93" t="s">
        <v>236</v>
      </c>
      <c r="C93" t="s">
        <v>53</v>
      </c>
      <c r="D93" s="2">
        <v>3</v>
      </c>
      <c r="E93" s="2">
        <v>69</v>
      </c>
      <c r="F93" s="3">
        <v>0.57499999999999996</v>
      </c>
      <c r="G93" s="3">
        <v>0.182</v>
      </c>
      <c r="H93" s="3">
        <v>9.8799999999999999E-2</v>
      </c>
      <c r="I93" s="3">
        <v>0</v>
      </c>
      <c r="J93" s="3" t="s">
        <v>67</v>
      </c>
      <c r="K93" s="2">
        <v>96</v>
      </c>
      <c r="L93" s="2">
        <v>204</v>
      </c>
      <c r="M93">
        <f t="shared" ca="1" si="1"/>
        <v>0.60775049677718851</v>
      </c>
    </row>
    <row r="94" spans="1:13" x14ac:dyDescent="0.4">
      <c r="A94" t="s">
        <v>237</v>
      </c>
      <c r="B94" t="s">
        <v>238</v>
      </c>
      <c r="C94" t="s">
        <v>53</v>
      </c>
      <c r="D94" s="2">
        <v>13</v>
      </c>
      <c r="E94" s="2">
        <v>63</v>
      </c>
      <c r="F94" s="3">
        <v>0.75800000000000001</v>
      </c>
      <c r="G94" s="3">
        <v>3.8300000000000001E-2</v>
      </c>
      <c r="H94" s="3">
        <v>5.28E-2</v>
      </c>
      <c r="I94" s="3">
        <v>0</v>
      </c>
      <c r="J94" s="3" t="s">
        <v>48</v>
      </c>
      <c r="K94" s="2">
        <v>98</v>
      </c>
      <c r="L94" s="2">
        <v>171</v>
      </c>
      <c r="M94">
        <f t="shared" ca="1" si="1"/>
        <v>0.37419163444720138</v>
      </c>
    </row>
    <row r="95" spans="1:13" x14ac:dyDescent="0.4">
      <c r="A95" t="s">
        <v>239</v>
      </c>
      <c r="B95" t="s">
        <v>240</v>
      </c>
      <c r="C95" t="s">
        <v>61</v>
      </c>
      <c r="D95" s="2">
        <v>38</v>
      </c>
      <c r="E95" s="2">
        <v>60</v>
      </c>
      <c r="F95" s="3">
        <v>0.73899999999999999</v>
      </c>
      <c r="G95" s="3">
        <v>8.9499999999999996E-2</v>
      </c>
      <c r="H95" s="3">
        <v>0.112</v>
      </c>
      <c r="I95" s="3">
        <v>1.0399999999999999E-3</v>
      </c>
      <c r="J95" s="3" t="s">
        <v>48</v>
      </c>
      <c r="K95" s="2">
        <v>121</v>
      </c>
      <c r="L95" s="2">
        <v>209</v>
      </c>
      <c r="M95">
        <f t="shared" ca="1" si="1"/>
        <v>0.68770404945655172</v>
      </c>
    </row>
    <row r="96" spans="1:13" x14ac:dyDescent="0.4">
      <c r="A96" t="s">
        <v>241</v>
      </c>
      <c r="B96" t="s">
        <v>242</v>
      </c>
      <c r="C96" t="s">
        <v>61</v>
      </c>
      <c r="D96" s="2">
        <v>8</v>
      </c>
      <c r="E96" s="2">
        <v>21</v>
      </c>
      <c r="F96" s="3">
        <v>0.39700000000000002</v>
      </c>
      <c r="G96" s="3">
        <v>2.8899999999999999E-2</v>
      </c>
      <c r="H96" s="3">
        <v>0.218</v>
      </c>
      <c r="I96" s="3">
        <v>0</v>
      </c>
      <c r="J96" s="3" t="s">
        <v>67</v>
      </c>
      <c r="K96" s="2">
        <v>162</v>
      </c>
      <c r="L96" s="2">
        <v>348</v>
      </c>
      <c r="M96">
        <f t="shared" ca="1" si="1"/>
        <v>0.20672612471287277</v>
      </c>
    </row>
    <row r="97" spans="1:13" x14ac:dyDescent="0.4">
      <c r="A97" t="s">
        <v>243</v>
      </c>
      <c r="B97" t="s">
        <v>244</v>
      </c>
      <c r="C97" t="s">
        <v>56</v>
      </c>
      <c r="D97" s="2">
        <v>1</v>
      </c>
      <c r="E97" s="2">
        <v>31</v>
      </c>
      <c r="F97" s="3">
        <v>0.78600000000000003</v>
      </c>
      <c r="G97" s="3">
        <v>0.25800000000000001</v>
      </c>
      <c r="H97" s="3">
        <v>7.2400000000000006E-2</v>
      </c>
      <c r="I97" s="4">
        <v>1.59E-6</v>
      </c>
      <c r="J97" s="3" t="s">
        <v>48</v>
      </c>
      <c r="K97" s="2">
        <v>128</v>
      </c>
      <c r="L97" s="2">
        <v>158</v>
      </c>
      <c r="M97">
        <f t="shared" ca="1" si="1"/>
        <v>0.72403275430155267</v>
      </c>
    </row>
    <row r="98" spans="1:13" x14ac:dyDescent="0.4">
      <c r="A98" t="s">
        <v>245</v>
      </c>
      <c r="B98" t="s">
        <v>246</v>
      </c>
      <c r="C98" t="s">
        <v>61</v>
      </c>
      <c r="D98" s="2">
        <v>42</v>
      </c>
      <c r="E98" s="2">
        <v>45</v>
      </c>
      <c r="F98" s="3">
        <v>0.51700000000000002</v>
      </c>
      <c r="G98" s="3">
        <v>6.7100000000000007E-2</v>
      </c>
      <c r="H98" s="3">
        <v>0.115</v>
      </c>
      <c r="I98" s="4">
        <v>2.4399999999999999E-4</v>
      </c>
      <c r="J98" s="3" t="s">
        <v>48</v>
      </c>
      <c r="K98" s="2">
        <v>151</v>
      </c>
      <c r="L98" s="2">
        <v>221</v>
      </c>
      <c r="M98">
        <f t="shared" ca="1" si="1"/>
        <v>0.48209474557750032</v>
      </c>
    </row>
    <row r="99" spans="1:13" x14ac:dyDescent="0.4">
      <c r="A99" t="s">
        <v>247</v>
      </c>
      <c r="B99" t="s">
        <v>248</v>
      </c>
      <c r="C99" t="s">
        <v>61</v>
      </c>
      <c r="D99" s="2">
        <v>33</v>
      </c>
      <c r="E99" s="2">
        <v>42</v>
      </c>
      <c r="F99" s="3">
        <v>0.56499999999999995</v>
      </c>
      <c r="G99" s="3">
        <v>0.04</v>
      </c>
      <c r="H99" s="3">
        <v>4.41E-2</v>
      </c>
      <c r="I99" s="3">
        <v>0</v>
      </c>
      <c r="J99" s="3" t="s">
        <v>48</v>
      </c>
      <c r="K99" s="2">
        <v>112</v>
      </c>
      <c r="L99" s="2">
        <v>233</v>
      </c>
      <c r="M99">
        <f t="shared" ca="1" si="1"/>
        <v>0.74421024254907631</v>
      </c>
    </row>
    <row r="100" spans="1:13" x14ac:dyDescent="0.4">
      <c r="A100" t="s">
        <v>249</v>
      </c>
      <c r="B100" t="s">
        <v>250</v>
      </c>
      <c r="C100" t="s">
        <v>47</v>
      </c>
      <c r="D100" s="2">
        <v>2</v>
      </c>
      <c r="E100" s="2">
        <v>78</v>
      </c>
      <c r="F100" s="3">
        <v>0.90600000000000003</v>
      </c>
      <c r="G100" s="3">
        <v>0.26900000000000002</v>
      </c>
      <c r="H100" s="3">
        <v>0.18</v>
      </c>
      <c r="I100" s="3">
        <v>0</v>
      </c>
      <c r="J100" s="3" t="s">
        <v>67</v>
      </c>
      <c r="K100" s="2">
        <v>104</v>
      </c>
      <c r="L100" s="2">
        <v>129</v>
      </c>
      <c r="M100">
        <f t="shared" ca="1" si="1"/>
        <v>0.55856305982358812</v>
      </c>
    </row>
    <row r="101" spans="1:13" x14ac:dyDescent="0.4">
      <c r="A101" t="s">
        <v>251</v>
      </c>
      <c r="B101" t="s">
        <v>252</v>
      </c>
      <c r="C101" t="s">
        <v>84</v>
      </c>
      <c r="D101" s="2">
        <v>1</v>
      </c>
      <c r="E101" s="2">
        <v>55</v>
      </c>
      <c r="F101" s="3">
        <v>0.59799999999999998</v>
      </c>
      <c r="G101" s="3">
        <v>0.19400000000000001</v>
      </c>
      <c r="H101" s="3">
        <v>6.5500000000000003E-2</v>
      </c>
      <c r="I101" s="3">
        <v>0</v>
      </c>
      <c r="J101" s="3" t="s">
        <v>48</v>
      </c>
      <c r="K101" s="2">
        <v>114</v>
      </c>
      <c r="L101" s="2">
        <v>230</v>
      </c>
      <c r="M101">
        <f t="shared" ca="1" si="1"/>
        <v>0.13941741296775412</v>
      </c>
    </row>
    <row r="102" spans="1:13" x14ac:dyDescent="0.4">
      <c r="A102" t="s">
        <v>253</v>
      </c>
      <c r="B102" t="s">
        <v>254</v>
      </c>
      <c r="C102" t="s">
        <v>47</v>
      </c>
      <c r="D102" s="2">
        <v>5</v>
      </c>
      <c r="E102" s="2">
        <v>19</v>
      </c>
      <c r="F102" s="3">
        <v>0.63900000000000001</v>
      </c>
      <c r="G102" s="3">
        <v>3.5400000000000001E-2</v>
      </c>
      <c r="H102" s="3">
        <v>6.3200000000000006E-2</v>
      </c>
      <c r="I102" s="3">
        <v>1.6999999999999999E-3</v>
      </c>
      <c r="J102" s="3" t="s">
        <v>48</v>
      </c>
      <c r="K102" s="2">
        <v>123</v>
      </c>
      <c r="L102" s="2">
        <v>235</v>
      </c>
      <c r="M102">
        <f t="shared" ca="1" si="1"/>
        <v>0.11674299298993773</v>
      </c>
    </row>
    <row r="103" spans="1:13" x14ac:dyDescent="0.4">
      <c r="A103" t="s">
        <v>255</v>
      </c>
      <c r="B103" t="s">
        <v>256</v>
      </c>
      <c r="C103" t="s">
        <v>56</v>
      </c>
      <c r="D103" s="2">
        <v>1</v>
      </c>
      <c r="E103" s="2">
        <v>8</v>
      </c>
      <c r="F103" s="3">
        <v>0.80100000000000005</v>
      </c>
      <c r="G103" s="3">
        <v>4.2500000000000003E-2</v>
      </c>
      <c r="H103" s="4">
        <v>9.2600000000000001E-5</v>
      </c>
      <c r="I103" s="3">
        <v>6.9899999999999997E-3</v>
      </c>
      <c r="J103" s="3" t="s">
        <v>48</v>
      </c>
      <c r="K103" s="2">
        <v>120</v>
      </c>
      <c r="L103" s="2">
        <v>260</v>
      </c>
      <c r="M103">
        <f t="shared" ca="1" si="1"/>
        <v>0.58056819454931319</v>
      </c>
    </row>
    <row r="104" spans="1:13" x14ac:dyDescent="0.4">
      <c r="A104" t="s">
        <v>257</v>
      </c>
      <c r="B104" t="s">
        <v>258</v>
      </c>
      <c r="C104" t="s">
        <v>61</v>
      </c>
      <c r="D104" s="2">
        <v>43</v>
      </c>
      <c r="E104" s="2">
        <v>57</v>
      </c>
      <c r="F104" s="3">
        <v>0.65100000000000002</v>
      </c>
      <c r="G104" s="3">
        <v>3.4599999999999999E-2</v>
      </c>
      <c r="H104" s="3">
        <v>0.16700000000000001</v>
      </c>
      <c r="I104" s="4">
        <v>1.7E-5</v>
      </c>
      <c r="J104" s="3" t="s">
        <v>48</v>
      </c>
      <c r="K104" s="2">
        <v>97</v>
      </c>
      <c r="L104" s="2">
        <v>226</v>
      </c>
      <c r="M104">
        <f t="shared" ca="1" si="1"/>
        <v>0.14345297624813991</v>
      </c>
    </row>
    <row r="105" spans="1:13" x14ac:dyDescent="0.4">
      <c r="A105" t="s">
        <v>259</v>
      </c>
      <c r="B105" t="s">
        <v>260</v>
      </c>
      <c r="C105" t="s">
        <v>53</v>
      </c>
      <c r="D105" s="2">
        <v>2</v>
      </c>
      <c r="E105" s="2">
        <v>50</v>
      </c>
      <c r="F105" s="3">
        <v>0.748</v>
      </c>
      <c r="G105" s="3">
        <v>3.4299999999999997E-2</v>
      </c>
      <c r="H105" s="3">
        <v>0.21099999999999999</v>
      </c>
      <c r="I105" s="3">
        <v>0</v>
      </c>
      <c r="J105" s="3" t="s">
        <v>67</v>
      </c>
      <c r="K105" s="2">
        <v>80</v>
      </c>
      <c r="L105" s="2">
        <v>158</v>
      </c>
      <c r="M105">
        <f t="shared" ca="1" si="1"/>
        <v>0.21419323467444151</v>
      </c>
    </row>
    <row r="106" spans="1:13" x14ac:dyDescent="0.4">
      <c r="A106" t="s">
        <v>261</v>
      </c>
      <c r="B106" t="s">
        <v>262</v>
      </c>
      <c r="C106" t="s">
        <v>53</v>
      </c>
      <c r="D106" s="2">
        <v>1</v>
      </c>
      <c r="E106" s="2">
        <v>43</v>
      </c>
      <c r="F106" s="3">
        <v>0.77100000000000002</v>
      </c>
      <c r="G106" s="3">
        <v>0.254</v>
      </c>
      <c r="H106" s="3">
        <v>0.26</v>
      </c>
      <c r="I106" s="4">
        <v>1.2500000000000001E-5</v>
      </c>
      <c r="J106" s="3" t="s">
        <v>67</v>
      </c>
      <c r="K106" s="2">
        <v>170</v>
      </c>
      <c r="L106" s="2">
        <v>242</v>
      </c>
      <c r="M106">
        <f t="shared" ca="1" si="1"/>
        <v>0.23813316546360463</v>
      </c>
    </row>
    <row r="107" spans="1:13" x14ac:dyDescent="0.4">
      <c r="A107" t="s">
        <v>263</v>
      </c>
      <c r="B107" t="s">
        <v>264</v>
      </c>
      <c r="C107" t="s">
        <v>66</v>
      </c>
      <c r="D107" s="2">
        <v>6</v>
      </c>
      <c r="E107" s="2">
        <v>26</v>
      </c>
      <c r="F107" s="3">
        <v>0.41499999999999998</v>
      </c>
      <c r="G107" s="3">
        <v>0.104</v>
      </c>
      <c r="H107" s="4">
        <v>8.3600000000000005E-4</v>
      </c>
      <c r="I107" s="3">
        <v>4.8199999999999996E-3</v>
      </c>
      <c r="J107" s="3" t="s">
        <v>48</v>
      </c>
      <c r="K107" s="2">
        <v>136</v>
      </c>
      <c r="L107" s="2">
        <v>256</v>
      </c>
      <c r="M107">
        <f t="shared" ca="1" si="1"/>
        <v>0.6158687836497736</v>
      </c>
    </row>
    <row r="108" spans="1:13" x14ac:dyDescent="0.4">
      <c r="A108" t="s">
        <v>265</v>
      </c>
      <c r="B108" t="s">
        <v>266</v>
      </c>
      <c r="C108" t="s">
        <v>66</v>
      </c>
      <c r="D108" s="2">
        <v>33</v>
      </c>
      <c r="E108" s="2">
        <v>49</v>
      </c>
      <c r="F108" s="3">
        <v>0.54300000000000004</v>
      </c>
      <c r="G108" s="3">
        <v>7.1599999999999997E-2</v>
      </c>
      <c r="H108" s="3">
        <v>2.5899999999999999E-2</v>
      </c>
      <c r="I108" s="4">
        <v>3.96E-5</v>
      </c>
      <c r="J108" s="3" t="s">
        <v>48</v>
      </c>
      <c r="K108" s="2">
        <v>170</v>
      </c>
      <c r="L108" s="2">
        <v>258</v>
      </c>
      <c r="M108">
        <f t="shared" ca="1" si="1"/>
        <v>0.33751178362795997</v>
      </c>
    </row>
    <row r="109" spans="1:13" x14ac:dyDescent="0.4">
      <c r="A109" t="s">
        <v>267</v>
      </c>
      <c r="B109" t="s">
        <v>268</v>
      </c>
      <c r="C109" t="s">
        <v>61</v>
      </c>
      <c r="D109" s="2">
        <v>53</v>
      </c>
      <c r="E109" s="2">
        <v>11</v>
      </c>
      <c r="F109" s="3">
        <v>0.505</v>
      </c>
      <c r="G109" s="3">
        <v>2.7799999999999998E-2</v>
      </c>
      <c r="H109" s="3">
        <v>8.9700000000000002E-2</v>
      </c>
      <c r="I109" s="4">
        <v>5.6099999999999998E-4</v>
      </c>
      <c r="J109" s="3" t="s">
        <v>67</v>
      </c>
      <c r="K109" s="2">
        <v>106</v>
      </c>
      <c r="L109" s="2">
        <v>176</v>
      </c>
      <c r="M109">
        <f t="shared" ca="1" si="1"/>
        <v>0.48123960927817111</v>
      </c>
    </row>
    <row r="110" spans="1:13" x14ac:dyDescent="0.4">
      <c r="A110" t="s">
        <v>269</v>
      </c>
      <c r="B110" t="s">
        <v>270</v>
      </c>
      <c r="C110" t="s">
        <v>61</v>
      </c>
      <c r="D110" s="2">
        <v>24</v>
      </c>
      <c r="E110" s="2">
        <v>38</v>
      </c>
      <c r="F110" s="3">
        <v>0.39400000000000002</v>
      </c>
      <c r="G110" s="3">
        <v>4.7600000000000003E-2</v>
      </c>
      <c r="H110" s="3">
        <v>0.33900000000000002</v>
      </c>
      <c r="I110" s="3">
        <v>4.3099999999999999E-2</v>
      </c>
      <c r="J110" s="3" t="s">
        <v>67</v>
      </c>
      <c r="K110" s="2">
        <v>178</v>
      </c>
      <c r="L110" s="2">
        <v>384</v>
      </c>
      <c r="M110">
        <f t="shared" ca="1" si="1"/>
        <v>0.13785165135698219</v>
      </c>
    </row>
    <row r="111" spans="1:13" x14ac:dyDescent="0.4">
      <c r="A111" t="s">
        <v>271</v>
      </c>
      <c r="B111" t="s">
        <v>272</v>
      </c>
      <c r="C111" t="s">
        <v>56</v>
      </c>
      <c r="D111" s="2">
        <v>5</v>
      </c>
      <c r="E111" s="2">
        <v>6</v>
      </c>
      <c r="F111" s="3">
        <v>0.5</v>
      </c>
      <c r="G111" s="3">
        <v>6.4299999999999996E-2</v>
      </c>
      <c r="H111" s="3">
        <v>3.6200000000000003E-2</v>
      </c>
      <c r="I111" s="3">
        <v>0</v>
      </c>
      <c r="J111" s="3" t="s">
        <v>48</v>
      </c>
      <c r="K111" s="2">
        <v>126</v>
      </c>
      <c r="L111" s="2">
        <v>210</v>
      </c>
      <c r="M111">
        <f t="shared" ca="1" si="1"/>
        <v>0.70154836873293824</v>
      </c>
    </row>
    <row r="112" spans="1:13" x14ac:dyDescent="0.4">
      <c r="A112" t="s">
        <v>273</v>
      </c>
      <c r="B112" t="s">
        <v>274</v>
      </c>
      <c r="C112" t="s">
        <v>66</v>
      </c>
      <c r="D112" s="2">
        <v>17</v>
      </c>
      <c r="E112" s="2">
        <v>27</v>
      </c>
      <c r="F112" s="3">
        <v>0.752</v>
      </c>
      <c r="G112" s="3">
        <v>6.7599999999999993E-2</v>
      </c>
      <c r="H112" s="3">
        <v>2.2800000000000001E-2</v>
      </c>
      <c r="I112" s="3">
        <v>3.04E-2</v>
      </c>
      <c r="J112" s="3" t="s">
        <v>48</v>
      </c>
      <c r="K112" s="2">
        <v>106</v>
      </c>
      <c r="L112" s="2">
        <v>245</v>
      </c>
      <c r="M112">
        <f t="shared" ca="1" si="1"/>
        <v>0.31538561469454685</v>
      </c>
    </row>
    <row r="113" spans="1:13" x14ac:dyDescent="0.4">
      <c r="A113" t="s">
        <v>275</v>
      </c>
      <c r="B113" t="s">
        <v>276</v>
      </c>
      <c r="C113" t="s">
        <v>47</v>
      </c>
      <c r="D113" s="2">
        <v>13</v>
      </c>
      <c r="E113" s="2">
        <v>72</v>
      </c>
      <c r="F113" s="3">
        <v>0.44700000000000001</v>
      </c>
      <c r="G113" s="3">
        <v>0.38200000000000001</v>
      </c>
      <c r="H113" s="3">
        <v>2.93E-2</v>
      </c>
      <c r="I113" s="4">
        <v>5.4600000000000002E-6</v>
      </c>
      <c r="J113" s="3" t="s">
        <v>48</v>
      </c>
      <c r="K113" s="2">
        <v>176</v>
      </c>
      <c r="L113" s="2">
        <v>228</v>
      </c>
      <c r="M113">
        <f t="shared" ca="1" si="1"/>
        <v>0.52586092864666234</v>
      </c>
    </row>
    <row r="114" spans="1:13" x14ac:dyDescent="0.4">
      <c r="A114" t="s">
        <v>277</v>
      </c>
      <c r="B114" t="s">
        <v>278</v>
      </c>
      <c r="C114" t="s">
        <v>61</v>
      </c>
      <c r="D114" s="2">
        <v>40</v>
      </c>
      <c r="E114" s="2">
        <v>53</v>
      </c>
      <c r="F114" s="3">
        <v>0.63300000000000001</v>
      </c>
      <c r="G114" s="3">
        <v>6.4799999999999996E-2</v>
      </c>
      <c r="H114" s="3">
        <v>0.34</v>
      </c>
      <c r="I114" s="3">
        <v>0.60499999999999998</v>
      </c>
      <c r="J114" s="3" t="s">
        <v>48</v>
      </c>
      <c r="K114" s="2">
        <v>81</v>
      </c>
      <c r="L114" s="2">
        <v>355</v>
      </c>
      <c r="M114">
        <f t="shared" ca="1" si="1"/>
        <v>0.29148225306505948</v>
      </c>
    </row>
    <row r="115" spans="1:13" x14ac:dyDescent="0.4">
      <c r="A115" t="s">
        <v>279</v>
      </c>
      <c r="B115" t="s">
        <v>280</v>
      </c>
      <c r="C115" t="s">
        <v>47</v>
      </c>
      <c r="D115" s="2">
        <v>1</v>
      </c>
      <c r="E115" s="2">
        <v>81</v>
      </c>
      <c r="F115" s="3">
        <v>0.56100000000000005</v>
      </c>
      <c r="G115" s="3">
        <v>3.2199999999999999E-2</v>
      </c>
      <c r="H115" s="3">
        <v>0.106</v>
      </c>
      <c r="I115" s="3">
        <v>0</v>
      </c>
      <c r="J115" s="3" t="s">
        <v>48</v>
      </c>
      <c r="K115" s="2">
        <v>160</v>
      </c>
      <c r="L115" s="2">
        <v>219</v>
      </c>
      <c r="M115">
        <f t="shared" ca="1" si="1"/>
        <v>0.7964826774942414</v>
      </c>
    </row>
    <row r="116" spans="1:13" x14ac:dyDescent="0.4">
      <c r="A116" t="s">
        <v>281</v>
      </c>
      <c r="B116" t="s">
        <v>282</v>
      </c>
      <c r="C116" t="s">
        <v>56</v>
      </c>
      <c r="D116" s="2">
        <v>1</v>
      </c>
      <c r="E116" s="2">
        <v>50</v>
      </c>
      <c r="F116" s="3">
        <v>0.44800000000000001</v>
      </c>
      <c r="G116" s="3">
        <v>4.8300000000000003E-2</v>
      </c>
      <c r="H116" s="3">
        <v>1.72E-3</v>
      </c>
      <c r="I116" s="4">
        <v>1.13E-5</v>
      </c>
      <c r="J116" s="3" t="s">
        <v>48</v>
      </c>
      <c r="K116" s="2">
        <v>128</v>
      </c>
      <c r="L116" s="2">
        <v>218</v>
      </c>
      <c r="M116">
        <f t="shared" ca="1" si="1"/>
        <v>0.96528663311979113</v>
      </c>
    </row>
    <row r="117" spans="1:13" x14ac:dyDescent="0.4">
      <c r="A117" t="s">
        <v>283</v>
      </c>
      <c r="B117" t="s">
        <v>284</v>
      </c>
      <c r="C117" t="s">
        <v>66</v>
      </c>
      <c r="D117" s="2">
        <v>6</v>
      </c>
      <c r="E117" s="2">
        <v>52</v>
      </c>
      <c r="F117" s="3">
        <v>0.83</v>
      </c>
      <c r="G117" s="3">
        <v>0.30399999999999999</v>
      </c>
      <c r="H117" s="3">
        <v>0.188</v>
      </c>
      <c r="I117" s="3">
        <v>0</v>
      </c>
      <c r="J117" s="3" t="s">
        <v>48</v>
      </c>
      <c r="K117" s="2">
        <v>90</v>
      </c>
      <c r="L117" s="2">
        <v>215</v>
      </c>
      <c r="M117">
        <f t="shared" ca="1" si="1"/>
        <v>0.90610650358275058</v>
      </c>
    </row>
    <row r="118" spans="1:13" x14ac:dyDescent="0.4">
      <c r="A118" t="s">
        <v>285</v>
      </c>
      <c r="B118" t="s">
        <v>286</v>
      </c>
      <c r="C118" t="s">
        <v>84</v>
      </c>
      <c r="D118" s="2">
        <v>2</v>
      </c>
      <c r="E118" s="2">
        <v>44</v>
      </c>
      <c r="F118" s="3">
        <v>0.46800000000000003</v>
      </c>
      <c r="G118" s="3">
        <v>0.13800000000000001</v>
      </c>
      <c r="H118" s="3">
        <v>0.21</v>
      </c>
      <c r="I118" s="3">
        <v>0</v>
      </c>
      <c r="J118" s="3" t="s">
        <v>48</v>
      </c>
      <c r="K118" s="2">
        <v>133</v>
      </c>
      <c r="L118" s="2">
        <v>168</v>
      </c>
      <c r="M118">
        <f t="shared" ca="1" si="1"/>
        <v>0.51158575214001523</v>
      </c>
    </row>
    <row r="119" spans="1:13" x14ac:dyDescent="0.4">
      <c r="A119" t="s">
        <v>287</v>
      </c>
      <c r="B119" t="s">
        <v>288</v>
      </c>
      <c r="C119" t="s">
        <v>56</v>
      </c>
      <c r="D119" s="2">
        <v>6</v>
      </c>
      <c r="E119" s="2">
        <v>34</v>
      </c>
      <c r="F119" s="3">
        <v>0.53600000000000003</v>
      </c>
      <c r="G119" s="3">
        <v>7.3700000000000002E-2</v>
      </c>
      <c r="H119" s="4">
        <v>1.6899999999999999E-4</v>
      </c>
      <c r="I119" s="3">
        <v>0.80100000000000005</v>
      </c>
      <c r="J119" s="3" t="s">
        <v>48</v>
      </c>
      <c r="K119" s="2">
        <v>128</v>
      </c>
      <c r="L119" s="2">
        <v>306</v>
      </c>
      <c r="M119">
        <f t="shared" ca="1" si="1"/>
        <v>0.48101958486653484</v>
      </c>
    </row>
    <row r="120" spans="1:13" x14ac:dyDescent="0.4">
      <c r="A120" t="s">
        <v>289</v>
      </c>
      <c r="B120" t="s">
        <v>290</v>
      </c>
      <c r="C120" t="s">
        <v>61</v>
      </c>
      <c r="D120" s="2">
        <v>16</v>
      </c>
      <c r="E120" s="2">
        <v>68</v>
      </c>
      <c r="F120" s="3">
        <v>0.42099999999999999</v>
      </c>
      <c r="G120" s="3">
        <v>9.6299999999999997E-2</v>
      </c>
      <c r="H120" s="3">
        <v>1.34E-2</v>
      </c>
      <c r="I120" s="3">
        <v>0</v>
      </c>
      <c r="J120" s="3" t="s">
        <v>48</v>
      </c>
      <c r="K120" s="2">
        <v>173</v>
      </c>
      <c r="L120" s="2">
        <v>207</v>
      </c>
      <c r="M120">
        <f t="shared" ca="1" si="1"/>
        <v>0.35318540158990275</v>
      </c>
    </row>
    <row r="121" spans="1:13" x14ac:dyDescent="0.4">
      <c r="A121" t="s">
        <v>291</v>
      </c>
      <c r="B121" t="s">
        <v>292</v>
      </c>
      <c r="C121" t="s">
        <v>47</v>
      </c>
      <c r="D121" s="2">
        <v>2</v>
      </c>
      <c r="E121" s="2">
        <v>43</v>
      </c>
      <c r="F121" s="3">
        <v>0.72199999999999998</v>
      </c>
      <c r="G121" s="3">
        <v>2.7199999999999998E-2</v>
      </c>
      <c r="H121" s="3">
        <v>6.6199999999999995E-2</v>
      </c>
      <c r="I121" s="3">
        <v>4.8199999999999996E-3</v>
      </c>
      <c r="J121" s="3" t="s">
        <v>48</v>
      </c>
      <c r="K121" s="2">
        <v>110</v>
      </c>
      <c r="L121" s="2">
        <v>195</v>
      </c>
      <c r="M121">
        <f t="shared" ca="1" si="1"/>
        <v>0.7330159457016685</v>
      </c>
    </row>
    <row r="122" spans="1:13" x14ac:dyDescent="0.4">
      <c r="A122" t="s">
        <v>293</v>
      </c>
      <c r="B122" t="s">
        <v>294</v>
      </c>
      <c r="C122" t="s">
        <v>56</v>
      </c>
      <c r="D122" s="2">
        <v>1</v>
      </c>
      <c r="E122" s="2">
        <v>77</v>
      </c>
      <c r="F122" s="3">
        <v>0.36</v>
      </c>
      <c r="G122" s="3">
        <v>3.8300000000000001E-2</v>
      </c>
      <c r="H122" s="3">
        <v>1.7100000000000001E-2</v>
      </c>
      <c r="I122" s="3">
        <v>0.252</v>
      </c>
      <c r="J122" s="3" t="s">
        <v>48</v>
      </c>
      <c r="K122" s="2">
        <v>107</v>
      </c>
      <c r="L122" s="2">
        <v>186</v>
      </c>
      <c r="M122">
        <f t="shared" ca="1" si="1"/>
        <v>0.57243928912278808</v>
      </c>
    </row>
    <row r="123" spans="1:13" x14ac:dyDescent="0.4">
      <c r="A123" t="s">
        <v>295</v>
      </c>
      <c r="B123" t="s">
        <v>296</v>
      </c>
      <c r="C123" t="s">
        <v>66</v>
      </c>
      <c r="D123" s="2">
        <v>18</v>
      </c>
      <c r="E123" s="2">
        <v>46</v>
      </c>
      <c r="F123" s="3">
        <v>0.69099999999999995</v>
      </c>
      <c r="G123" s="3">
        <v>0.19600000000000001</v>
      </c>
      <c r="H123" s="3">
        <v>0.28399999999999997</v>
      </c>
      <c r="I123" s="4">
        <v>1.7799999999999999E-5</v>
      </c>
      <c r="J123" s="3" t="s">
        <v>67</v>
      </c>
      <c r="K123" s="2">
        <v>96</v>
      </c>
      <c r="L123" s="2">
        <v>210</v>
      </c>
      <c r="M123">
        <f t="shared" ca="1" si="1"/>
        <v>0.1455419809361238</v>
      </c>
    </row>
    <row r="124" spans="1:13" x14ac:dyDescent="0.4">
      <c r="A124" t="s">
        <v>297</v>
      </c>
      <c r="B124" t="s">
        <v>298</v>
      </c>
      <c r="C124" t="s">
        <v>84</v>
      </c>
      <c r="D124" s="2">
        <v>1</v>
      </c>
      <c r="E124" s="2">
        <v>56</v>
      </c>
      <c r="F124" s="3">
        <v>0.77500000000000002</v>
      </c>
      <c r="G124" s="3">
        <v>0.29699999999999999</v>
      </c>
      <c r="H124" s="3">
        <v>0.35499999999999998</v>
      </c>
      <c r="I124" s="4">
        <v>6.9199999999999998E-6</v>
      </c>
      <c r="J124" s="3" t="s">
        <v>67</v>
      </c>
      <c r="K124" s="2">
        <v>128</v>
      </c>
      <c r="L124" s="2">
        <v>169</v>
      </c>
      <c r="M124">
        <f t="shared" ca="1" si="1"/>
        <v>0.74099135700181229</v>
      </c>
    </row>
    <row r="125" spans="1:13" x14ac:dyDescent="0.4">
      <c r="A125" t="s">
        <v>299</v>
      </c>
      <c r="B125" t="s">
        <v>300</v>
      </c>
      <c r="C125" t="s">
        <v>56</v>
      </c>
      <c r="D125" s="2">
        <v>3</v>
      </c>
      <c r="E125" s="2">
        <v>12</v>
      </c>
      <c r="F125" s="3">
        <v>0.41399999999999998</v>
      </c>
      <c r="G125" s="3">
        <v>6.4899999999999999E-2</v>
      </c>
      <c r="H125" s="3">
        <v>1.1599999999999999E-2</v>
      </c>
      <c r="I125" s="4">
        <v>2.1000000000000001E-4</v>
      </c>
      <c r="J125" s="3" t="s">
        <v>48</v>
      </c>
      <c r="K125" s="2">
        <v>117</v>
      </c>
      <c r="L125" s="2">
        <v>195</v>
      </c>
      <c r="M125">
        <f t="shared" ca="1" si="1"/>
        <v>0.79987876083310205</v>
      </c>
    </row>
    <row r="126" spans="1:13" x14ac:dyDescent="0.4">
      <c r="A126" t="s">
        <v>301</v>
      </c>
      <c r="B126" t="s">
        <v>302</v>
      </c>
      <c r="C126" t="s">
        <v>84</v>
      </c>
      <c r="D126" s="2">
        <v>17</v>
      </c>
      <c r="E126" s="2">
        <v>44</v>
      </c>
      <c r="F126" s="3">
        <v>0.81899999999999995</v>
      </c>
      <c r="G126" s="3">
        <v>8.8999999999999996E-2</v>
      </c>
      <c r="H126" s="3">
        <v>1.66E-3</v>
      </c>
      <c r="I126" s="3">
        <v>0</v>
      </c>
      <c r="J126" s="3" t="s">
        <v>48</v>
      </c>
      <c r="K126" s="2">
        <v>78</v>
      </c>
      <c r="L126" s="2">
        <v>237</v>
      </c>
      <c r="M126">
        <f t="shared" ca="1" si="1"/>
        <v>5.8054234663943105E-2</v>
      </c>
    </row>
    <row r="127" spans="1:13" x14ac:dyDescent="0.4">
      <c r="A127" t="s">
        <v>303</v>
      </c>
      <c r="B127" t="s">
        <v>304</v>
      </c>
      <c r="C127" t="s">
        <v>84</v>
      </c>
      <c r="D127" s="2">
        <v>21</v>
      </c>
      <c r="E127" s="2">
        <v>18</v>
      </c>
      <c r="F127" s="3">
        <v>0.81399999999999995</v>
      </c>
      <c r="G127" s="3">
        <v>0.23499999999999999</v>
      </c>
      <c r="H127" s="3">
        <v>0.17499999999999999</v>
      </c>
      <c r="I127" s="4">
        <v>6.7100000000000005E-4</v>
      </c>
      <c r="J127" s="3" t="s">
        <v>48</v>
      </c>
      <c r="K127" s="2">
        <v>93</v>
      </c>
      <c r="L127" s="2">
        <v>268</v>
      </c>
      <c r="M127">
        <f t="shared" ca="1" si="1"/>
        <v>3.1256996772811796E-2</v>
      </c>
    </row>
    <row r="128" spans="1:13" x14ac:dyDescent="0.4">
      <c r="A128" t="s">
        <v>305</v>
      </c>
      <c r="B128" t="s">
        <v>306</v>
      </c>
      <c r="C128" t="s">
        <v>56</v>
      </c>
      <c r="D128" s="2">
        <v>1</v>
      </c>
      <c r="E128" s="2">
        <v>23</v>
      </c>
      <c r="F128" s="3">
        <v>0.71199999999999997</v>
      </c>
      <c r="G128" s="3">
        <v>5.3400000000000003E-2</v>
      </c>
      <c r="H128" s="3">
        <v>1.2200000000000001E-2</v>
      </c>
      <c r="I128" s="3">
        <v>6.77E-3</v>
      </c>
      <c r="J128" s="3" t="s">
        <v>48</v>
      </c>
      <c r="K128" s="2">
        <v>105</v>
      </c>
      <c r="L128" s="2">
        <v>202</v>
      </c>
      <c r="M128">
        <f t="shared" ca="1" si="1"/>
        <v>0.43316082695395186</v>
      </c>
    </row>
    <row r="129" spans="1:13" x14ac:dyDescent="0.4">
      <c r="A129" t="s">
        <v>307</v>
      </c>
      <c r="B129" t="s">
        <v>308</v>
      </c>
      <c r="C129" t="s">
        <v>56</v>
      </c>
      <c r="D129" s="2">
        <v>3</v>
      </c>
      <c r="E129" s="2">
        <v>50</v>
      </c>
      <c r="F129" s="3">
        <v>0.64200000000000002</v>
      </c>
      <c r="G129" s="3">
        <v>5.1999999999999998E-2</v>
      </c>
      <c r="H129" s="3">
        <v>2.6100000000000002E-2</v>
      </c>
      <c r="I129" s="3">
        <v>0</v>
      </c>
      <c r="J129" s="3" t="s">
        <v>48</v>
      </c>
      <c r="K129" s="2">
        <v>96</v>
      </c>
      <c r="L129" s="2">
        <v>215</v>
      </c>
      <c r="M129">
        <f t="shared" ca="1" si="1"/>
        <v>0.10103892171237761</v>
      </c>
    </row>
    <row r="130" spans="1:13" x14ac:dyDescent="0.4">
      <c r="A130" t="s">
        <v>309</v>
      </c>
      <c r="B130" t="s">
        <v>310</v>
      </c>
      <c r="C130" t="s">
        <v>53</v>
      </c>
      <c r="D130" s="2">
        <v>2</v>
      </c>
      <c r="E130" s="2">
        <v>8</v>
      </c>
      <c r="F130" s="3">
        <v>0.755</v>
      </c>
      <c r="G130" s="3">
        <v>3.5700000000000003E-2</v>
      </c>
      <c r="H130" s="3">
        <v>5.0299999999999997E-3</v>
      </c>
      <c r="I130" s="3">
        <v>0.86099999999999999</v>
      </c>
      <c r="J130" s="3" t="s">
        <v>48</v>
      </c>
      <c r="K130" s="2">
        <v>123</v>
      </c>
      <c r="L130" s="2">
        <v>315</v>
      </c>
      <c r="M130">
        <f t="shared" ref="M130:M193" ca="1" si="2">RAND()</f>
        <v>0.1625765616494057</v>
      </c>
    </row>
    <row r="131" spans="1:13" x14ac:dyDescent="0.4">
      <c r="A131" t="s">
        <v>311</v>
      </c>
      <c r="B131" t="s">
        <v>312</v>
      </c>
      <c r="C131" t="s">
        <v>56</v>
      </c>
      <c r="D131" s="2">
        <v>1</v>
      </c>
      <c r="E131" s="2">
        <v>39</v>
      </c>
      <c r="F131" s="3">
        <v>0.71299999999999997</v>
      </c>
      <c r="G131" s="3">
        <v>0.48599999999999999</v>
      </c>
      <c r="H131" s="3">
        <v>3.7599999999999999E-3</v>
      </c>
      <c r="I131" s="3">
        <v>3.5100000000000001E-3</v>
      </c>
      <c r="J131" s="3" t="s">
        <v>48</v>
      </c>
      <c r="K131" s="2">
        <v>127</v>
      </c>
      <c r="L131" s="2">
        <v>189</v>
      </c>
      <c r="M131">
        <f t="shared" ca="1" si="2"/>
        <v>0.947865077431158</v>
      </c>
    </row>
    <row r="132" spans="1:13" x14ac:dyDescent="0.4">
      <c r="A132" t="s">
        <v>313</v>
      </c>
      <c r="B132" t="s">
        <v>314</v>
      </c>
      <c r="C132" t="s">
        <v>47</v>
      </c>
      <c r="D132" s="2">
        <v>10</v>
      </c>
      <c r="E132" s="2">
        <v>54</v>
      </c>
      <c r="F132" s="3">
        <v>0.68100000000000005</v>
      </c>
      <c r="G132" s="3">
        <v>4.2000000000000003E-2</v>
      </c>
      <c r="H132" s="3">
        <v>3.3400000000000001E-3</v>
      </c>
      <c r="I132" s="3">
        <v>8.1699999999999995E-2</v>
      </c>
      <c r="J132" s="3" t="s">
        <v>48</v>
      </c>
      <c r="K132" s="2">
        <v>118</v>
      </c>
      <c r="L132" s="2">
        <v>316</v>
      </c>
      <c r="M132">
        <f t="shared" ca="1" si="2"/>
        <v>0.15059395817566923</v>
      </c>
    </row>
    <row r="133" spans="1:13" x14ac:dyDescent="0.4">
      <c r="A133" t="s">
        <v>315</v>
      </c>
      <c r="B133" t="s">
        <v>316</v>
      </c>
      <c r="C133" t="s">
        <v>47</v>
      </c>
      <c r="D133" s="2">
        <v>3</v>
      </c>
      <c r="E133" s="2">
        <v>76</v>
      </c>
      <c r="F133" s="3">
        <v>0.69599999999999995</v>
      </c>
      <c r="G133" s="3">
        <v>0.109</v>
      </c>
      <c r="H133" s="3">
        <v>7.4999999999999997E-2</v>
      </c>
      <c r="I133" s="3">
        <v>0</v>
      </c>
      <c r="J133" s="3" t="s">
        <v>48</v>
      </c>
      <c r="K133" s="2">
        <v>98</v>
      </c>
      <c r="L133" s="2">
        <v>216</v>
      </c>
      <c r="M133">
        <f t="shared" ca="1" si="2"/>
        <v>0.45229132524891436</v>
      </c>
    </row>
    <row r="134" spans="1:13" x14ac:dyDescent="0.4">
      <c r="A134" t="s">
        <v>317</v>
      </c>
      <c r="B134" t="s">
        <v>182</v>
      </c>
      <c r="C134" t="s">
        <v>61</v>
      </c>
      <c r="D134" s="2">
        <v>26</v>
      </c>
      <c r="E134" s="2">
        <v>50</v>
      </c>
      <c r="F134" s="3">
        <v>0.40899999999999997</v>
      </c>
      <c r="G134" s="3">
        <v>2.7300000000000001E-2</v>
      </c>
      <c r="H134" s="3">
        <v>4.28E-3</v>
      </c>
      <c r="I134" s="3">
        <v>2.8500000000000001E-3</v>
      </c>
      <c r="J134" s="3" t="s">
        <v>48</v>
      </c>
      <c r="K134" s="2">
        <v>174</v>
      </c>
      <c r="L134" s="2">
        <v>224</v>
      </c>
      <c r="M134">
        <f t="shared" ca="1" si="2"/>
        <v>0.34490006055791589</v>
      </c>
    </row>
    <row r="135" spans="1:13" x14ac:dyDescent="0.4">
      <c r="A135" t="s">
        <v>318</v>
      </c>
      <c r="B135" t="s">
        <v>319</v>
      </c>
      <c r="C135" t="s">
        <v>61</v>
      </c>
      <c r="D135" s="2">
        <v>6</v>
      </c>
      <c r="E135" s="2">
        <v>44</v>
      </c>
      <c r="F135" s="3">
        <v>0.56899999999999995</v>
      </c>
      <c r="G135" s="3">
        <v>2.5899999999999999E-2</v>
      </c>
      <c r="H135" s="3">
        <v>0.16600000000000001</v>
      </c>
      <c r="I135" s="4">
        <v>9.4099999999999997E-6</v>
      </c>
      <c r="J135" s="3" t="s">
        <v>67</v>
      </c>
      <c r="K135" s="2">
        <v>105</v>
      </c>
      <c r="L135" s="2">
        <v>227</v>
      </c>
      <c r="M135">
        <f t="shared" ca="1" si="2"/>
        <v>0.30230733425916334</v>
      </c>
    </row>
    <row r="136" spans="1:13" x14ac:dyDescent="0.4">
      <c r="A136" t="s">
        <v>320</v>
      </c>
      <c r="B136" t="s">
        <v>321</v>
      </c>
      <c r="C136" t="s">
        <v>47</v>
      </c>
      <c r="D136" s="2">
        <v>8</v>
      </c>
      <c r="E136" s="2">
        <v>65</v>
      </c>
      <c r="F136" s="3">
        <v>0.70099999999999996</v>
      </c>
      <c r="G136" s="3">
        <v>3.2899999999999999E-2</v>
      </c>
      <c r="H136" s="3">
        <v>8.8800000000000004E-2</v>
      </c>
      <c r="I136" s="4">
        <v>6.4800000000000003E-4</v>
      </c>
      <c r="J136" s="3" t="s">
        <v>67</v>
      </c>
      <c r="K136" s="2">
        <v>95</v>
      </c>
      <c r="L136" s="2">
        <v>195</v>
      </c>
      <c r="M136">
        <f t="shared" ca="1" si="2"/>
        <v>0.66263074553114132</v>
      </c>
    </row>
    <row r="137" spans="1:13" x14ac:dyDescent="0.4">
      <c r="A137" t="s">
        <v>322</v>
      </c>
      <c r="B137" t="s">
        <v>323</v>
      </c>
      <c r="C137" t="s">
        <v>47</v>
      </c>
      <c r="D137" s="2">
        <v>9</v>
      </c>
      <c r="E137" s="2">
        <v>55</v>
      </c>
      <c r="F137" s="3">
        <v>0.56999999999999995</v>
      </c>
      <c r="G137" s="3">
        <v>3.1399999999999997E-2</v>
      </c>
      <c r="H137" s="3">
        <v>1.04E-2</v>
      </c>
      <c r="I137" s="3">
        <v>0.44600000000000001</v>
      </c>
      <c r="J137" s="3" t="s">
        <v>48</v>
      </c>
      <c r="K137" s="2">
        <v>115</v>
      </c>
      <c r="L137" s="2">
        <v>215</v>
      </c>
      <c r="M137">
        <f t="shared" ca="1" si="2"/>
        <v>0.84100703437893187</v>
      </c>
    </row>
    <row r="138" spans="1:13" x14ac:dyDescent="0.4">
      <c r="A138" t="s">
        <v>324</v>
      </c>
      <c r="B138" t="s">
        <v>325</v>
      </c>
      <c r="C138" t="s">
        <v>56</v>
      </c>
      <c r="D138" s="2">
        <v>7</v>
      </c>
      <c r="E138" s="2">
        <v>39</v>
      </c>
      <c r="F138" s="3">
        <v>0.77400000000000002</v>
      </c>
      <c r="G138" s="3">
        <v>7.0699999999999999E-2</v>
      </c>
      <c r="H138" s="3">
        <v>1.15E-2</v>
      </c>
      <c r="I138" s="3">
        <v>1.66E-2</v>
      </c>
      <c r="J138" s="3" t="s">
        <v>48</v>
      </c>
      <c r="K138" s="2">
        <v>128</v>
      </c>
      <c r="L138" s="2">
        <v>182</v>
      </c>
      <c r="M138">
        <f t="shared" ca="1" si="2"/>
        <v>0.48906554365866128</v>
      </c>
    </row>
    <row r="139" spans="1:13" x14ac:dyDescent="0.4">
      <c r="A139" t="s">
        <v>326</v>
      </c>
      <c r="B139" t="s">
        <v>327</v>
      </c>
      <c r="C139" t="s">
        <v>66</v>
      </c>
      <c r="D139" s="2">
        <v>5</v>
      </c>
      <c r="E139" s="2">
        <v>52</v>
      </c>
      <c r="F139" s="3">
        <v>0.77700000000000002</v>
      </c>
      <c r="G139" s="3">
        <v>4.8399999999999999E-2</v>
      </c>
      <c r="H139" s="3">
        <v>0.17699999999999999</v>
      </c>
      <c r="I139" s="3">
        <v>0</v>
      </c>
      <c r="J139" s="3" t="s">
        <v>48</v>
      </c>
      <c r="K139" s="2">
        <v>128</v>
      </c>
      <c r="L139" s="2">
        <v>189</v>
      </c>
      <c r="M139">
        <f t="shared" ca="1" si="2"/>
        <v>0.8938936299364818</v>
      </c>
    </row>
    <row r="140" spans="1:13" x14ac:dyDescent="0.4">
      <c r="A140" t="s">
        <v>328</v>
      </c>
      <c r="B140" t="s">
        <v>329</v>
      </c>
      <c r="C140" t="s">
        <v>56</v>
      </c>
      <c r="D140" s="2">
        <v>1</v>
      </c>
      <c r="E140" s="2">
        <v>69</v>
      </c>
      <c r="F140" s="3">
        <v>0.82</v>
      </c>
      <c r="G140" s="3">
        <v>0.13800000000000001</v>
      </c>
      <c r="H140" s="3">
        <v>8.5800000000000001E-2</v>
      </c>
      <c r="I140" s="4">
        <v>3.4900000000000001E-5</v>
      </c>
      <c r="J140" s="3" t="s">
        <v>48</v>
      </c>
      <c r="K140" s="2">
        <v>120</v>
      </c>
      <c r="L140" s="2">
        <v>202</v>
      </c>
      <c r="M140">
        <f t="shared" ca="1" si="2"/>
        <v>0.85955995965100207</v>
      </c>
    </row>
    <row r="141" spans="1:13" x14ac:dyDescent="0.4">
      <c r="A141" t="s">
        <v>330</v>
      </c>
      <c r="B141" t="s">
        <v>331</v>
      </c>
      <c r="C141" t="s">
        <v>61</v>
      </c>
      <c r="D141" s="2">
        <v>19</v>
      </c>
      <c r="E141" s="2">
        <v>51</v>
      </c>
      <c r="F141" s="3">
        <v>0.44700000000000001</v>
      </c>
      <c r="G141" s="3">
        <v>3.8300000000000001E-2</v>
      </c>
      <c r="H141" s="3">
        <v>4.8300000000000003E-2</v>
      </c>
      <c r="I141" s="3">
        <v>0</v>
      </c>
      <c r="J141" s="3" t="s">
        <v>48</v>
      </c>
      <c r="K141" s="2">
        <v>133</v>
      </c>
      <c r="L141" s="2">
        <v>319</v>
      </c>
      <c r="M141">
        <f t="shared" ca="1" si="2"/>
        <v>0.37529093339771114</v>
      </c>
    </row>
    <row r="142" spans="1:13" x14ac:dyDescent="0.4">
      <c r="A142" t="s">
        <v>332</v>
      </c>
      <c r="B142" t="s">
        <v>333</v>
      </c>
      <c r="C142" t="s">
        <v>56</v>
      </c>
      <c r="D142" s="2">
        <v>8</v>
      </c>
      <c r="E142" s="2">
        <v>47</v>
      </c>
      <c r="F142" s="3">
        <v>0.88700000000000001</v>
      </c>
      <c r="G142" s="3">
        <v>7.9799999999999996E-2</v>
      </c>
      <c r="H142" s="4">
        <v>1.3300000000000001E-4</v>
      </c>
      <c r="I142" s="3">
        <v>0.80400000000000005</v>
      </c>
      <c r="J142" s="3" t="s">
        <v>48</v>
      </c>
      <c r="K142" s="2">
        <v>127</v>
      </c>
      <c r="L142" s="2">
        <v>194</v>
      </c>
      <c r="M142">
        <f t="shared" ca="1" si="2"/>
        <v>0.98552303891005388</v>
      </c>
    </row>
    <row r="143" spans="1:13" x14ac:dyDescent="0.4">
      <c r="A143" t="s">
        <v>334</v>
      </c>
      <c r="B143" t="s">
        <v>335</v>
      </c>
      <c r="C143" t="s">
        <v>66</v>
      </c>
      <c r="D143" s="2">
        <v>3</v>
      </c>
      <c r="E143" s="2">
        <v>64</v>
      </c>
      <c r="F143" s="3">
        <v>0.73399999999999999</v>
      </c>
      <c r="G143" s="3">
        <v>4.58E-2</v>
      </c>
      <c r="H143" s="3">
        <v>7.5999999999999998E-2</v>
      </c>
      <c r="I143" s="4">
        <v>6.5400000000000001E-6</v>
      </c>
      <c r="J143" s="3" t="s">
        <v>48</v>
      </c>
      <c r="K143" s="2">
        <v>99</v>
      </c>
      <c r="L143" s="2">
        <v>236</v>
      </c>
      <c r="M143">
        <f t="shared" ca="1" si="2"/>
        <v>0.79533261696091528</v>
      </c>
    </row>
    <row r="144" spans="1:13" x14ac:dyDescent="0.4">
      <c r="A144" t="s">
        <v>336</v>
      </c>
      <c r="B144" t="s">
        <v>337</v>
      </c>
      <c r="C144" t="s">
        <v>66</v>
      </c>
      <c r="D144" s="2">
        <v>15</v>
      </c>
      <c r="E144" s="2">
        <v>27</v>
      </c>
      <c r="F144" s="3">
        <v>0.60899999999999999</v>
      </c>
      <c r="G144" s="3">
        <v>2.9100000000000001E-2</v>
      </c>
      <c r="H144" s="3">
        <v>2.3300000000000001E-2</v>
      </c>
      <c r="I144" s="3">
        <v>0</v>
      </c>
      <c r="J144" s="3" t="s">
        <v>48</v>
      </c>
      <c r="K144" s="2">
        <v>128</v>
      </c>
      <c r="L144" s="2">
        <v>256</v>
      </c>
      <c r="M144">
        <f t="shared" ca="1" si="2"/>
        <v>0.99493669138677221</v>
      </c>
    </row>
    <row r="145" spans="1:13" x14ac:dyDescent="0.4">
      <c r="A145" t="s">
        <v>338</v>
      </c>
      <c r="B145" t="s">
        <v>339</v>
      </c>
      <c r="C145" t="s">
        <v>47</v>
      </c>
      <c r="D145" s="2">
        <v>1</v>
      </c>
      <c r="E145" s="2">
        <v>57</v>
      </c>
      <c r="F145" s="3">
        <v>0.53100000000000003</v>
      </c>
      <c r="G145" s="3">
        <v>2.8299999999999999E-2</v>
      </c>
      <c r="H145" s="3">
        <v>2.4299999999999999E-2</v>
      </c>
      <c r="I145" s="3">
        <v>5.1499999999999997E-2</v>
      </c>
      <c r="J145" s="3" t="s">
        <v>48</v>
      </c>
      <c r="K145" s="2">
        <v>145</v>
      </c>
      <c r="L145" s="2">
        <v>202</v>
      </c>
      <c r="M145">
        <f t="shared" ca="1" si="2"/>
        <v>0.87862546000395547</v>
      </c>
    </row>
    <row r="146" spans="1:13" x14ac:dyDescent="0.4">
      <c r="A146" t="s">
        <v>340</v>
      </c>
      <c r="B146" t="s">
        <v>341</v>
      </c>
      <c r="C146" t="s">
        <v>84</v>
      </c>
      <c r="D146" s="2">
        <v>8</v>
      </c>
      <c r="E146" s="2">
        <v>25</v>
      </c>
      <c r="F146" s="3">
        <v>0.67500000000000004</v>
      </c>
      <c r="G146" s="3">
        <v>0.34300000000000003</v>
      </c>
      <c r="H146" s="3">
        <v>0.14699999999999999</v>
      </c>
      <c r="I146" s="3">
        <v>2.3800000000000002E-3</v>
      </c>
      <c r="J146" s="3" t="s">
        <v>48</v>
      </c>
      <c r="K146" s="2">
        <v>90</v>
      </c>
      <c r="L146" s="2">
        <v>130</v>
      </c>
      <c r="M146">
        <f t="shared" ca="1" si="2"/>
        <v>0.93414217323903104</v>
      </c>
    </row>
    <row r="147" spans="1:13" x14ac:dyDescent="0.4">
      <c r="A147" t="s">
        <v>342</v>
      </c>
      <c r="B147" t="s">
        <v>343</v>
      </c>
      <c r="C147" t="s">
        <v>84</v>
      </c>
      <c r="D147" s="2">
        <v>13</v>
      </c>
      <c r="E147" s="2">
        <v>65</v>
      </c>
      <c r="F147" s="3">
        <v>0.84</v>
      </c>
      <c r="G147" s="3">
        <v>7.9699999999999993E-2</v>
      </c>
      <c r="H147" s="3">
        <v>0.16</v>
      </c>
      <c r="I147" s="3">
        <v>0</v>
      </c>
      <c r="J147" s="3" t="s">
        <v>48</v>
      </c>
      <c r="K147" s="2">
        <v>117</v>
      </c>
      <c r="L147" s="2">
        <v>188</v>
      </c>
      <c r="M147">
        <f t="shared" ca="1" si="2"/>
        <v>0.25343378786913384</v>
      </c>
    </row>
    <row r="148" spans="1:13" x14ac:dyDescent="0.4">
      <c r="A148" t="s">
        <v>344</v>
      </c>
      <c r="B148" t="s">
        <v>345</v>
      </c>
      <c r="C148" t="s">
        <v>61</v>
      </c>
      <c r="D148" s="2">
        <v>35</v>
      </c>
      <c r="E148" s="2">
        <v>62</v>
      </c>
      <c r="F148" s="3">
        <v>0.34100000000000003</v>
      </c>
      <c r="G148" s="3">
        <v>4.2299999999999997E-2</v>
      </c>
      <c r="H148" s="4">
        <v>8.0199999999999998E-5</v>
      </c>
      <c r="I148" s="3">
        <v>0.61599999999999999</v>
      </c>
      <c r="J148" s="3" t="s">
        <v>48</v>
      </c>
      <c r="K148" s="2">
        <v>121</v>
      </c>
      <c r="L148" s="2">
        <v>182</v>
      </c>
      <c r="M148">
        <f t="shared" ca="1" si="2"/>
        <v>0.89813337098105805</v>
      </c>
    </row>
    <row r="149" spans="1:13" x14ac:dyDescent="0.4">
      <c r="A149" t="s">
        <v>346</v>
      </c>
      <c r="B149" t="s">
        <v>347</v>
      </c>
      <c r="C149" t="s">
        <v>84</v>
      </c>
      <c r="D149" s="2">
        <v>28</v>
      </c>
      <c r="E149" s="2">
        <v>24</v>
      </c>
      <c r="F149" s="3">
        <v>0.80500000000000005</v>
      </c>
      <c r="G149" s="3">
        <v>0.32100000000000001</v>
      </c>
      <c r="H149" s="3">
        <v>3.2500000000000001E-2</v>
      </c>
      <c r="I149" s="4">
        <v>1.3599999999999999E-6</v>
      </c>
      <c r="J149" s="3" t="s">
        <v>48</v>
      </c>
      <c r="K149" s="2">
        <v>95</v>
      </c>
      <c r="L149" s="2">
        <v>334</v>
      </c>
      <c r="M149">
        <f t="shared" ca="1" si="2"/>
        <v>0.33208594254042711</v>
      </c>
    </row>
    <row r="150" spans="1:13" x14ac:dyDescent="0.4">
      <c r="A150" t="s">
        <v>348</v>
      </c>
      <c r="B150" t="s">
        <v>349</v>
      </c>
      <c r="C150" t="s">
        <v>66</v>
      </c>
      <c r="D150" s="2">
        <v>13</v>
      </c>
      <c r="E150" s="2">
        <v>48</v>
      </c>
      <c r="F150" s="3">
        <v>0.82199999999999995</v>
      </c>
      <c r="G150" s="3">
        <v>5.4199999999999998E-2</v>
      </c>
      <c r="H150" s="3">
        <v>6.1499999999999999E-2</v>
      </c>
      <c r="I150" s="3">
        <v>1.3600000000000001E-3</v>
      </c>
      <c r="J150" s="3" t="s">
        <v>67</v>
      </c>
      <c r="K150" s="2">
        <v>103</v>
      </c>
      <c r="L150" s="2">
        <v>241</v>
      </c>
      <c r="M150">
        <f t="shared" ca="1" si="2"/>
        <v>0.99351563552204614</v>
      </c>
    </row>
    <row r="151" spans="1:13" x14ac:dyDescent="0.4">
      <c r="A151" t="s">
        <v>350</v>
      </c>
      <c r="B151" t="s">
        <v>351</v>
      </c>
      <c r="C151" t="s">
        <v>47</v>
      </c>
      <c r="D151" s="2">
        <v>3</v>
      </c>
      <c r="E151" s="2">
        <v>37</v>
      </c>
      <c r="F151" s="3">
        <v>0.44900000000000001</v>
      </c>
      <c r="G151" s="3">
        <v>4.9000000000000002E-2</v>
      </c>
      <c r="H151" s="3">
        <v>1.64E-3</v>
      </c>
      <c r="I151" s="3">
        <v>0.89700000000000002</v>
      </c>
      <c r="J151" s="3" t="s">
        <v>48</v>
      </c>
      <c r="K151" s="2">
        <v>123</v>
      </c>
      <c r="L151" s="2">
        <v>187</v>
      </c>
      <c r="M151">
        <f t="shared" ca="1" si="2"/>
        <v>0.33689844565384319</v>
      </c>
    </row>
    <row r="152" spans="1:13" x14ac:dyDescent="0.4">
      <c r="A152" t="s">
        <v>352</v>
      </c>
      <c r="B152" t="s">
        <v>353</v>
      </c>
      <c r="C152" t="s">
        <v>47</v>
      </c>
      <c r="D152" s="2">
        <v>13</v>
      </c>
      <c r="E152" s="2">
        <v>34</v>
      </c>
      <c r="F152" s="3">
        <v>0.61499999999999999</v>
      </c>
      <c r="G152" s="3">
        <v>4.1599999999999998E-2</v>
      </c>
      <c r="H152" s="3">
        <v>9.7100000000000006E-2</v>
      </c>
      <c r="I152" s="3">
        <v>0</v>
      </c>
      <c r="J152" s="3" t="s">
        <v>48</v>
      </c>
      <c r="K152" s="2">
        <v>140</v>
      </c>
      <c r="L152" s="2">
        <v>125</v>
      </c>
      <c r="M152">
        <f t="shared" ca="1" si="2"/>
        <v>0.60406244517188745</v>
      </c>
    </row>
    <row r="153" spans="1:13" x14ac:dyDescent="0.4">
      <c r="A153" t="s">
        <v>354</v>
      </c>
      <c r="B153" t="s">
        <v>355</v>
      </c>
      <c r="C153" t="s">
        <v>66</v>
      </c>
      <c r="D153" s="2">
        <v>5</v>
      </c>
      <c r="E153" s="2">
        <v>20</v>
      </c>
      <c r="F153" s="3">
        <v>0.85799999999999998</v>
      </c>
      <c r="G153" s="3">
        <v>3.9699999999999999E-2</v>
      </c>
      <c r="H153" s="3">
        <v>0.26600000000000001</v>
      </c>
      <c r="I153" s="4">
        <v>1.0900000000000001E-4</v>
      </c>
      <c r="J153" s="3" t="s">
        <v>48</v>
      </c>
      <c r="K153" s="2">
        <v>128</v>
      </c>
      <c r="L153" s="2">
        <v>197</v>
      </c>
      <c r="M153">
        <f t="shared" ca="1" si="2"/>
        <v>0.13974462818988664</v>
      </c>
    </row>
    <row r="154" spans="1:13" x14ac:dyDescent="0.4">
      <c r="A154" t="s">
        <v>356</v>
      </c>
      <c r="B154" t="s">
        <v>357</v>
      </c>
      <c r="C154" t="s">
        <v>47</v>
      </c>
      <c r="D154" s="2">
        <v>8</v>
      </c>
      <c r="E154" s="2">
        <v>75</v>
      </c>
      <c r="F154" s="3">
        <v>0.378</v>
      </c>
      <c r="G154" s="3">
        <v>7.4999999999999997E-2</v>
      </c>
      <c r="H154" s="3">
        <v>0.02</v>
      </c>
      <c r="I154" s="4">
        <v>7.6600000000000005E-5</v>
      </c>
      <c r="J154" s="3" t="s">
        <v>48</v>
      </c>
      <c r="K154" s="2">
        <v>184</v>
      </c>
      <c r="L154" s="2">
        <v>251</v>
      </c>
      <c r="M154">
        <f t="shared" ca="1" si="2"/>
        <v>0.95265932712586532</v>
      </c>
    </row>
    <row r="155" spans="1:13" x14ac:dyDescent="0.4">
      <c r="A155" t="s">
        <v>358</v>
      </c>
      <c r="B155" t="s">
        <v>359</v>
      </c>
      <c r="C155" t="s">
        <v>84</v>
      </c>
      <c r="D155" s="2">
        <v>1</v>
      </c>
      <c r="E155" s="2">
        <v>57</v>
      </c>
      <c r="F155" s="3">
        <v>0.75</v>
      </c>
      <c r="G155" s="3">
        <v>3.1600000000000003E-2</v>
      </c>
      <c r="H155" s="3">
        <v>0.36499999999999999</v>
      </c>
      <c r="I155" s="3">
        <v>0</v>
      </c>
      <c r="J155" s="3" t="s">
        <v>48</v>
      </c>
      <c r="K155" s="2">
        <v>103</v>
      </c>
      <c r="L155" s="2">
        <v>214</v>
      </c>
      <c r="M155">
        <f t="shared" ca="1" si="2"/>
        <v>0.89608394827600757</v>
      </c>
    </row>
    <row r="156" spans="1:13" x14ac:dyDescent="0.4">
      <c r="A156" t="s">
        <v>360</v>
      </c>
      <c r="B156" t="s">
        <v>361</v>
      </c>
      <c r="C156" t="s">
        <v>47</v>
      </c>
      <c r="D156" s="2">
        <v>26</v>
      </c>
      <c r="E156" s="2">
        <v>55</v>
      </c>
      <c r="F156" s="3">
        <v>0.63900000000000001</v>
      </c>
      <c r="G156" s="3">
        <v>3.1099999999999999E-2</v>
      </c>
      <c r="H156" s="3">
        <v>3.3600000000000001E-3</v>
      </c>
      <c r="I156" s="3">
        <v>2E-3</v>
      </c>
      <c r="J156" s="3" t="s">
        <v>48</v>
      </c>
      <c r="K156" s="2">
        <v>133</v>
      </c>
      <c r="L156" s="2">
        <v>228</v>
      </c>
      <c r="M156">
        <f t="shared" ca="1" si="2"/>
        <v>0.1899922110645359</v>
      </c>
    </row>
    <row r="157" spans="1:13" x14ac:dyDescent="0.4">
      <c r="A157" t="s">
        <v>362</v>
      </c>
      <c r="B157" t="s">
        <v>363</v>
      </c>
      <c r="C157" t="s">
        <v>53</v>
      </c>
      <c r="D157" s="2">
        <v>1</v>
      </c>
      <c r="E157" s="2">
        <v>26</v>
      </c>
      <c r="F157" s="3">
        <v>0.88700000000000001</v>
      </c>
      <c r="G157" s="3">
        <v>9.5299999999999996E-2</v>
      </c>
      <c r="H157" s="3">
        <v>0.77700000000000002</v>
      </c>
      <c r="I157" s="3">
        <v>0</v>
      </c>
      <c r="J157" s="3" t="s">
        <v>48</v>
      </c>
      <c r="K157" s="2">
        <v>154</v>
      </c>
      <c r="L157" s="2">
        <v>171</v>
      </c>
      <c r="M157">
        <f t="shared" ca="1" si="2"/>
        <v>0.97261623029594368</v>
      </c>
    </row>
    <row r="158" spans="1:13" x14ac:dyDescent="0.4">
      <c r="A158" t="s">
        <v>364</v>
      </c>
      <c r="B158" t="s">
        <v>365</v>
      </c>
      <c r="C158" t="s">
        <v>61</v>
      </c>
      <c r="D158" s="2">
        <v>1</v>
      </c>
      <c r="E158" s="2">
        <v>63</v>
      </c>
      <c r="F158" s="3">
        <v>0.52200000000000002</v>
      </c>
      <c r="G158" s="3">
        <v>0.20899999999999999</v>
      </c>
      <c r="H158" s="4">
        <v>5.5300000000000002E-5</v>
      </c>
      <c r="I158" s="3">
        <v>0</v>
      </c>
      <c r="J158" s="3" t="s">
        <v>48</v>
      </c>
      <c r="K158" s="2">
        <v>121</v>
      </c>
      <c r="L158" s="2">
        <v>227</v>
      </c>
      <c r="M158">
        <f t="shared" ca="1" si="2"/>
        <v>0.10999281683419271</v>
      </c>
    </row>
    <row r="159" spans="1:13" x14ac:dyDescent="0.4">
      <c r="A159" t="s">
        <v>366</v>
      </c>
      <c r="B159" t="s">
        <v>367</v>
      </c>
      <c r="C159" t="s">
        <v>84</v>
      </c>
      <c r="D159" s="2">
        <v>1</v>
      </c>
      <c r="E159" s="2">
        <v>27</v>
      </c>
      <c r="F159" s="3">
        <v>0.55000000000000004</v>
      </c>
      <c r="G159" s="3">
        <v>0.877</v>
      </c>
      <c r="H159" s="3">
        <v>0.106</v>
      </c>
      <c r="I159" s="3">
        <v>0</v>
      </c>
      <c r="J159" s="3" t="s">
        <v>48</v>
      </c>
      <c r="K159" s="2">
        <v>87</v>
      </c>
      <c r="L159" s="2">
        <v>155</v>
      </c>
      <c r="M159">
        <f t="shared" ca="1" si="2"/>
        <v>0.8490823867712981</v>
      </c>
    </row>
    <row r="160" spans="1:13" x14ac:dyDescent="0.4">
      <c r="A160" t="s">
        <v>368</v>
      </c>
      <c r="B160" t="s">
        <v>369</v>
      </c>
      <c r="C160" t="s">
        <v>84</v>
      </c>
      <c r="D160" s="2">
        <v>1</v>
      </c>
      <c r="E160" s="2">
        <v>46</v>
      </c>
      <c r="F160" s="3">
        <v>0.86499999999999999</v>
      </c>
      <c r="G160" s="3">
        <v>0.23599999999999999</v>
      </c>
      <c r="H160" s="3">
        <v>0.38600000000000001</v>
      </c>
      <c r="I160" s="3">
        <v>0</v>
      </c>
      <c r="J160" s="3" t="s">
        <v>48</v>
      </c>
      <c r="K160" s="2">
        <v>105</v>
      </c>
      <c r="L160" s="2">
        <v>151</v>
      </c>
      <c r="M160">
        <f t="shared" ca="1" si="2"/>
        <v>0.14117939675996094</v>
      </c>
    </row>
    <row r="161" spans="1:13" x14ac:dyDescent="0.4">
      <c r="A161" t="s">
        <v>370</v>
      </c>
      <c r="B161" t="s">
        <v>371</v>
      </c>
      <c r="C161" t="s">
        <v>56</v>
      </c>
      <c r="D161" s="2">
        <v>5</v>
      </c>
      <c r="E161" s="2">
        <v>2</v>
      </c>
      <c r="F161" s="3">
        <v>0.61799999999999999</v>
      </c>
      <c r="G161" s="3">
        <v>8.7099999999999997E-2</v>
      </c>
      <c r="H161" s="3">
        <v>5.7799999999999997E-2</v>
      </c>
      <c r="I161" s="4">
        <v>1.7100000000000001E-4</v>
      </c>
      <c r="J161" s="3" t="s">
        <v>48</v>
      </c>
      <c r="K161" s="2">
        <v>125</v>
      </c>
      <c r="L161" s="2">
        <v>260</v>
      </c>
      <c r="M161">
        <f t="shared" ca="1" si="2"/>
        <v>0.67849803212482407</v>
      </c>
    </row>
    <row r="162" spans="1:13" x14ac:dyDescent="0.4">
      <c r="A162" t="s">
        <v>372</v>
      </c>
      <c r="B162" t="s">
        <v>373</v>
      </c>
      <c r="C162" t="s">
        <v>53</v>
      </c>
      <c r="D162" s="2">
        <v>1</v>
      </c>
      <c r="E162" s="2">
        <v>65</v>
      </c>
      <c r="F162" s="3">
        <v>0.46</v>
      </c>
      <c r="G162" s="3">
        <v>4.8599999999999997E-2</v>
      </c>
      <c r="H162" s="3">
        <v>1.06E-2</v>
      </c>
      <c r="I162" s="3">
        <v>0</v>
      </c>
      <c r="J162" s="3" t="s">
        <v>48</v>
      </c>
      <c r="K162" s="2">
        <v>164</v>
      </c>
      <c r="L162" s="2">
        <v>227</v>
      </c>
      <c r="M162">
        <f t="shared" ca="1" si="2"/>
        <v>0.50995559013255687</v>
      </c>
    </row>
    <row r="163" spans="1:13" x14ac:dyDescent="0.4">
      <c r="A163" t="s">
        <v>374</v>
      </c>
      <c r="B163" t="s">
        <v>58</v>
      </c>
      <c r="C163" t="s">
        <v>53</v>
      </c>
      <c r="D163" s="2">
        <v>16</v>
      </c>
      <c r="E163" s="2">
        <v>3</v>
      </c>
      <c r="F163" s="3">
        <v>0.47</v>
      </c>
      <c r="G163" s="3">
        <v>3.61E-2</v>
      </c>
      <c r="H163" s="3">
        <v>0.10100000000000001</v>
      </c>
      <c r="I163" s="4">
        <v>4.0000000000000003E-5</v>
      </c>
      <c r="J163" s="3" t="s">
        <v>48</v>
      </c>
      <c r="K163" s="2">
        <v>80</v>
      </c>
      <c r="L163" s="2">
        <v>186</v>
      </c>
      <c r="M163">
        <f t="shared" ca="1" si="2"/>
        <v>0.98377282708029368</v>
      </c>
    </row>
    <row r="164" spans="1:13" x14ac:dyDescent="0.4">
      <c r="A164" t="s">
        <v>375</v>
      </c>
      <c r="B164" t="s">
        <v>376</v>
      </c>
      <c r="C164" t="s">
        <v>66</v>
      </c>
      <c r="D164" s="2">
        <v>4</v>
      </c>
      <c r="E164" s="2">
        <v>46</v>
      </c>
      <c r="F164" s="3">
        <v>0.64600000000000002</v>
      </c>
      <c r="G164" s="3">
        <v>0.114</v>
      </c>
      <c r="H164" s="3">
        <v>0.32900000000000001</v>
      </c>
      <c r="I164" s="4">
        <v>1.9700000000000001E-5</v>
      </c>
      <c r="J164" s="3" t="s">
        <v>48</v>
      </c>
      <c r="K164" s="2">
        <v>77</v>
      </c>
      <c r="L164" s="2">
        <v>97</v>
      </c>
      <c r="M164">
        <f t="shared" ca="1" si="2"/>
        <v>2.1562187853195525E-2</v>
      </c>
    </row>
    <row r="165" spans="1:13" x14ac:dyDescent="0.4">
      <c r="A165" t="s">
        <v>377</v>
      </c>
      <c r="B165" t="s">
        <v>378</v>
      </c>
      <c r="C165" t="s">
        <v>47</v>
      </c>
      <c r="D165" s="2">
        <v>1</v>
      </c>
      <c r="E165" s="2">
        <v>47</v>
      </c>
      <c r="F165" s="3">
        <v>0.56399999999999995</v>
      </c>
      <c r="G165" s="3">
        <v>2.9399999999999999E-2</v>
      </c>
      <c r="H165" s="3">
        <v>0.44900000000000001</v>
      </c>
      <c r="I165" s="4">
        <v>3.41E-6</v>
      </c>
      <c r="J165" s="3" t="s">
        <v>67</v>
      </c>
      <c r="K165" s="2">
        <v>80</v>
      </c>
      <c r="L165" s="2">
        <v>225</v>
      </c>
      <c r="M165">
        <f t="shared" ca="1" si="2"/>
        <v>0.77978993282522102</v>
      </c>
    </row>
    <row r="166" spans="1:13" x14ac:dyDescent="0.4">
      <c r="A166" t="s">
        <v>379</v>
      </c>
      <c r="B166" t="s">
        <v>380</v>
      </c>
      <c r="C166" t="s">
        <v>56</v>
      </c>
      <c r="D166" s="2">
        <v>2</v>
      </c>
      <c r="E166" s="2">
        <v>29</v>
      </c>
      <c r="F166" s="3">
        <v>0.77900000000000003</v>
      </c>
      <c r="G166" s="3">
        <v>4.9000000000000002E-2</v>
      </c>
      <c r="H166" s="3">
        <v>2.1299999999999999E-3</v>
      </c>
      <c r="I166" s="3">
        <v>0.9</v>
      </c>
      <c r="J166" s="3" t="s">
        <v>48</v>
      </c>
      <c r="K166" s="2">
        <v>127</v>
      </c>
      <c r="L166" s="2">
        <v>424</v>
      </c>
      <c r="M166">
        <f t="shared" ca="1" si="2"/>
        <v>0.81574622195451651</v>
      </c>
    </row>
    <row r="167" spans="1:13" x14ac:dyDescent="0.4">
      <c r="A167" t="s">
        <v>381</v>
      </c>
      <c r="B167" t="s">
        <v>382</v>
      </c>
      <c r="C167" t="s">
        <v>53</v>
      </c>
      <c r="D167" s="2">
        <v>0</v>
      </c>
      <c r="E167" s="2">
        <v>24</v>
      </c>
      <c r="F167" s="3">
        <v>0.871</v>
      </c>
      <c r="G167" s="3">
        <v>7.5399999999999995E-2</v>
      </c>
      <c r="H167" s="3">
        <v>0.19600000000000001</v>
      </c>
      <c r="I167" s="3">
        <v>0</v>
      </c>
      <c r="J167" s="3" t="s">
        <v>48</v>
      </c>
      <c r="K167" s="2">
        <v>94</v>
      </c>
      <c r="L167" s="2">
        <v>148</v>
      </c>
      <c r="M167">
        <f t="shared" ca="1" si="2"/>
        <v>0.58951081762995727</v>
      </c>
    </row>
    <row r="168" spans="1:13" x14ac:dyDescent="0.4">
      <c r="A168" t="s">
        <v>383</v>
      </c>
      <c r="B168" t="s">
        <v>384</v>
      </c>
      <c r="C168" t="s">
        <v>66</v>
      </c>
      <c r="D168" s="2">
        <v>28</v>
      </c>
      <c r="E168" s="2">
        <v>9</v>
      </c>
      <c r="F168" s="3">
        <v>0.754</v>
      </c>
      <c r="G168" s="3">
        <v>5.5100000000000003E-2</v>
      </c>
      <c r="H168" s="3">
        <v>7.0400000000000004E-2</v>
      </c>
      <c r="I168" s="4">
        <v>6.5300000000000002E-6</v>
      </c>
      <c r="J168" s="3" t="s">
        <v>48</v>
      </c>
      <c r="K168" s="2">
        <v>99</v>
      </c>
      <c r="L168" s="2">
        <v>274</v>
      </c>
      <c r="M168">
        <f t="shared" ca="1" si="2"/>
        <v>0.39228271174244156</v>
      </c>
    </row>
    <row r="169" spans="1:13" x14ac:dyDescent="0.4">
      <c r="A169" t="s">
        <v>385</v>
      </c>
      <c r="B169" t="s">
        <v>386</v>
      </c>
      <c r="C169" t="s">
        <v>66</v>
      </c>
      <c r="D169" s="2">
        <v>37</v>
      </c>
      <c r="E169" s="2">
        <v>39</v>
      </c>
      <c r="F169" s="3">
        <v>0.75700000000000001</v>
      </c>
      <c r="G169" s="3">
        <v>3.1300000000000001E-2</v>
      </c>
      <c r="H169" s="3">
        <v>0.2</v>
      </c>
      <c r="I169" s="3">
        <v>0</v>
      </c>
      <c r="J169" s="3" t="s">
        <v>67</v>
      </c>
      <c r="K169" s="2">
        <v>93</v>
      </c>
      <c r="L169" s="2">
        <v>345</v>
      </c>
      <c r="M169">
        <f t="shared" ca="1" si="2"/>
        <v>0.92304148773052896</v>
      </c>
    </row>
    <row r="170" spans="1:13" x14ac:dyDescent="0.4">
      <c r="A170" t="s">
        <v>387</v>
      </c>
      <c r="B170" t="s">
        <v>388</v>
      </c>
      <c r="C170" t="s">
        <v>53</v>
      </c>
      <c r="D170" s="2">
        <v>1</v>
      </c>
      <c r="E170" s="2">
        <v>63</v>
      </c>
      <c r="F170" s="3">
        <v>0.754</v>
      </c>
      <c r="G170" s="3">
        <v>7.8399999999999997E-2</v>
      </c>
      <c r="H170" s="3">
        <v>0.15</v>
      </c>
      <c r="I170" s="3">
        <v>0</v>
      </c>
      <c r="J170" s="3" t="s">
        <v>48</v>
      </c>
      <c r="K170" s="2">
        <v>100</v>
      </c>
      <c r="L170" s="2">
        <v>312</v>
      </c>
      <c r="M170">
        <f t="shared" ca="1" si="2"/>
        <v>0.67092959887434989</v>
      </c>
    </row>
    <row r="171" spans="1:13" x14ac:dyDescent="0.4">
      <c r="A171" t="s">
        <v>389</v>
      </c>
      <c r="B171" t="s">
        <v>390</v>
      </c>
      <c r="C171" t="s">
        <v>56</v>
      </c>
      <c r="D171" s="2">
        <v>2</v>
      </c>
      <c r="E171" s="2">
        <v>23</v>
      </c>
      <c r="F171" s="3">
        <v>0.77900000000000003</v>
      </c>
      <c r="G171" s="3">
        <v>6.0699999999999997E-2</v>
      </c>
      <c r="H171" s="3">
        <v>0.23499999999999999</v>
      </c>
      <c r="I171" s="3">
        <v>1.24E-2</v>
      </c>
      <c r="J171" s="3" t="s">
        <v>48</v>
      </c>
      <c r="K171" s="2">
        <v>124</v>
      </c>
      <c r="L171" s="2">
        <v>228</v>
      </c>
      <c r="M171">
        <f t="shared" ca="1" si="2"/>
        <v>0.85550384330340024</v>
      </c>
    </row>
    <row r="172" spans="1:13" x14ac:dyDescent="0.4">
      <c r="A172" t="s">
        <v>391</v>
      </c>
      <c r="B172" t="s">
        <v>392</v>
      </c>
      <c r="C172" t="s">
        <v>84</v>
      </c>
      <c r="D172" s="2">
        <v>3</v>
      </c>
      <c r="E172" s="2">
        <v>49</v>
      </c>
      <c r="F172" s="3">
        <v>0.77700000000000002</v>
      </c>
      <c r="G172" s="3">
        <v>0.34899999999999998</v>
      </c>
      <c r="H172" s="3">
        <v>9.0499999999999997E-2</v>
      </c>
      <c r="I172" s="3">
        <v>0</v>
      </c>
      <c r="J172" s="3" t="s">
        <v>48</v>
      </c>
      <c r="K172" s="2">
        <v>130</v>
      </c>
      <c r="L172" s="2">
        <v>135</v>
      </c>
      <c r="M172">
        <f t="shared" ca="1" si="2"/>
        <v>9.6639023545920022E-2</v>
      </c>
    </row>
    <row r="173" spans="1:13" x14ac:dyDescent="0.4">
      <c r="A173" t="s">
        <v>393</v>
      </c>
      <c r="B173" t="s">
        <v>394</v>
      </c>
      <c r="C173" t="s">
        <v>61</v>
      </c>
      <c r="D173" s="2">
        <v>17</v>
      </c>
      <c r="E173" s="2">
        <v>60</v>
      </c>
      <c r="F173" s="3">
        <v>0.218</v>
      </c>
      <c r="G173" s="3">
        <v>0.11</v>
      </c>
      <c r="H173" s="3">
        <v>6.5399999999999998E-3</v>
      </c>
      <c r="I173" s="3">
        <v>3.3E-3</v>
      </c>
      <c r="J173" s="3" t="s">
        <v>48</v>
      </c>
      <c r="K173" s="2">
        <v>178</v>
      </c>
      <c r="L173" s="2">
        <v>180</v>
      </c>
      <c r="M173">
        <f t="shared" ca="1" si="2"/>
        <v>0.84423499320675521</v>
      </c>
    </row>
    <row r="174" spans="1:13" x14ac:dyDescent="0.4">
      <c r="A174" t="s">
        <v>395</v>
      </c>
      <c r="B174" t="s">
        <v>396</v>
      </c>
      <c r="C174" t="s">
        <v>47</v>
      </c>
      <c r="D174" s="2">
        <v>4</v>
      </c>
      <c r="E174" s="2">
        <v>33</v>
      </c>
      <c r="F174" s="3">
        <v>0.48099999999999998</v>
      </c>
      <c r="G174" s="3">
        <v>3.7999999999999999E-2</v>
      </c>
      <c r="H174" s="3">
        <v>0.95299999999999996</v>
      </c>
      <c r="I174" s="3">
        <v>0.69</v>
      </c>
      <c r="J174" s="3" t="s">
        <v>67</v>
      </c>
      <c r="K174" s="2">
        <v>116</v>
      </c>
      <c r="L174" s="2">
        <v>368</v>
      </c>
      <c r="M174">
        <f t="shared" ca="1" si="2"/>
        <v>0.599494339791796</v>
      </c>
    </row>
    <row r="175" spans="1:13" x14ac:dyDescent="0.4">
      <c r="A175" t="s">
        <v>397</v>
      </c>
      <c r="B175" t="s">
        <v>398</v>
      </c>
      <c r="C175" t="s">
        <v>56</v>
      </c>
      <c r="D175" s="2">
        <v>2</v>
      </c>
      <c r="E175" s="2">
        <v>9</v>
      </c>
      <c r="F175" s="3">
        <v>0.66</v>
      </c>
      <c r="G175" s="3">
        <v>3.2800000000000003E-2</v>
      </c>
      <c r="H175" s="3">
        <v>0.28499999999999998</v>
      </c>
      <c r="I175" s="3">
        <v>0.92600000000000005</v>
      </c>
      <c r="J175" s="3" t="s">
        <v>48</v>
      </c>
      <c r="K175" s="2">
        <v>129</v>
      </c>
      <c r="L175" s="2">
        <v>478</v>
      </c>
      <c r="M175">
        <f t="shared" ca="1" si="2"/>
        <v>0.77244047664731819</v>
      </c>
    </row>
    <row r="176" spans="1:13" x14ac:dyDescent="0.4">
      <c r="A176" t="s">
        <v>399</v>
      </c>
      <c r="B176" t="s">
        <v>400</v>
      </c>
      <c r="C176" t="s">
        <v>61</v>
      </c>
      <c r="D176" s="2">
        <v>36</v>
      </c>
      <c r="E176" s="2">
        <v>7</v>
      </c>
      <c r="F176" s="3">
        <v>0.26800000000000002</v>
      </c>
      <c r="G176" s="3">
        <v>3.1099999999999999E-2</v>
      </c>
      <c r="H176" s="3">
        <v>0.16900000000000001</v>
      </c>
      <c r="I176" s="3">
        <v>2.0400000000000001E-3</v>
      </c>
      <c r="J176" s="3" t="s">
        <v>48</v>
      </c>
      <c r="K176" s="2">
        <v>104</v>
      </c>
      <c r="L176" s="2">
        <v>389</v>
      </c>
      <c r="M176">
        <f t="shared" ca="1" si="2"/>
        <v>0.93808616016859536</v>
      </c>
    </row>
    <row r="177" spans="1:13" x14ac:dyDescent="0.4">
      <c r="A177" t="s">
        <v>401</v>
      </c>
      <c r="B177" t="s">
        <v>402</v>
      </c>
      <c r="C177" t="s">
        <v>47</v>
      </c>
      <c r="D177" s="2">
        <v>1</v>
      </c>
      <c r="E177" s="2">
        <v>28</v>
      </c>
      <c r="F177" s="3">
        <v>0.72399999999999998</v>
      </c>
      <c r="G177" s="3">
        <v>0.129</v>
      </c>
      <c r="H177" s="3">
        <v>0.15</v>
      </c>
      <c r="I177" s="3">
        <v>1.01E-2</v>
      </c>
      <c r="J177" s="3" t="s">
        <v>48</v>
      </c>
      <c r="K177" s="2">
        <v>124</v>
      </c>
      <c r="L177" s="2">
        <v>209</v>
      </c>
      <c r="M177">
        <f t="shared" ca="1" si="2"/>
        <v>0.45819782030527667</v>
      </c>
    </row>
    <row r="178" spans="1:13" x14ac:dyDescent="0.4">
      <c r="A178" t="s">
        <v>403</v>
      </c>
      <c r="B178" t="s">
        <v>404</v>
      </c>
      <c r="C178" t="s">
        <v>56</v>
      </c>
      <c r="D178" s="2">
        <v>8</v>
      </c>
      <c r="E178" s="2">
        <v>7</v>
      </c>
      <c r="F178" s="3">
        <v>0.56000000000000005</v>
      </c>
      <c r="G178" s="3">
        <v>3.6400000000000002E-2</v>
      </c>
      <c r="H178" s="4">
        <v>9.8499999999999998E-4</v>
      </c>
      <c r="I178" s="4">
        <v>9.6399999999999999E-5</v>
      </c>
      <c r="J178" s="3" t="s">
        <v>48</v>
      </c>
      <c r="K178" s="2">
        <v>130</v>
      </c>
      <c r="L178" s="2">
        <v>205</v>
      </c>
      <c r="M178">
        <f t="shared" ca="1" si="2"/>
        <v>0.25828851975965184</v>
      </c>
    </row>
    <row r="179" spans="1:13" x14ac:dyDescent="0.4">
      <c r="A179" t="s">
        <v>405</v>
      </c>
      <c r="B179" t="s">
        <v>406</v>
      </c>
      <c r="C179" t="s">
        <v>47</v>
      </c>
      <c r="D179" s="2">
        <v>5</v>
      </c>
      <c r="E179" s="2">
        <v>55</v>
      </c>
      <c r="F179" s="3">
        <v>0.72599999999999998</v>
      </c>
      <c r="G179" s="3">
        <v>0.123</v>
      </c>
      <c r="H179" s="3">
        <v>5.9499999999999997E-2</v>
      </c>
      <c r="I179" s="4">
        <v>4.4299999999999999E-5</v>
      </c>
      <c r="J179" s="3" t="s">
        <v>48</v>
      </c>
      <c r="K179" s="2">
        <v>162</v>
      </c>
      <c r="L179" s="2">
        <v>209</v>
      </c>
      <c r="M179">
        <f t="shared" ca="1" si="2"/>
        <v>0.20086569678537181</v>
      </c>
    </row>
    <row r="180" spans="1:13" x14ac:dyDescent="0.4">
      <c r="A180" t="s">
        <v>407</v>
      </c>
      <c r="B180" t="s">
        <v>408</v>
      </c>
      <c r="C180" t="s">
        <v>56</v>
      </c>
      <c r="D180" s="2">
        <v>6</v>
      </c>
      <c r="E180" s="2">
        <v>53</v>
      </c>
      <c r="F180" s="3">
        <v>0.58399999999999996</v>
      </c>
      <c r="G180" s="3">
        <v>3.7900000000000003E-2</v>
      </c>
      <c r="H180" s="3">
        <v>1.04E-2</v>
      </c>
      <c r="I180" s="3">
        <v>0.51600000000000001</v>
      </c>
      <c r="J180" s="3" t="s">
        <v>48</v>
      </c>
      <c r="K180" s="2">
        <v>128</v>
      </c>
      <c r="L180" s="2">
        <v>206</v>
      </c>
      <c r="M180">
        <f t="shared" ca="1" si="2"/>
        <v>0.29348349211064473</v>
      </c>
    </row>
    <row r="181" spans="1:13" x14ac:dyDescent="0.4">
      <c r="A181" t="s">
        <v>409</v>
      </c>
      <c r="B181" t="s">
        <v>410</v>
      </c>
      <c r="C181" t="s">
        <v>56</v>
      </c>
      <c r="D181" s="2">
        <v>1</v>
      </c>
      <c r="E181" s="2">
        <v>35</v>
      </c>
      <c r="F181" s="3">
        <v>0.85699999999999998</v>
      </c>
      <c r="G181" s="3">
        <v>0.246</v>
      </c>
      <c r="H181" s="3">
        <v>0.122</v>
      </c>
      <c r="I181" s="4">
        <v>3.6600000000000001E-4</v>
      </c>
      <c r="J181" s="3" t="s">
        <v>48</v>
      </c>
      <c r="K181" s="2">
        <v>120</v>
      </c>
      <c r="L181" s="2">
        <v>184</v>
      </c>
      <c r="M181">
        <f t="shared" ca="1" si="2"/>
        <v>0.34317799045185038</v>
      </c>
    </row>
    <row r="182" spans="1:13" x14ac:dyDescent="0.4">
      <c r="A182" t="s">
        <v>411</v>
      </c>
      <c r="B182" t="s">
        <v>412</v>
      </c>
      <c r="C182" t="s">
        <v>47</v>
      </c>
      <c r="D182" s="2">
        <v>6</v>
      </c>
      <c r="E182" s="2">
        <v>53</v>
      </c>
      <c r="F182" s="3">
        <v>0.67300000000000004</v>
      </c>
      <c r="G182" s="3">
        <v>3.09E-2</v>
      </c>
      <c r="H182" s="3">
        <v>5.5500000000000001E-2</v>
      </c>
      <c r="I182" s="3">
        <v>1.11E-2</v>
      </c>
      <c r="J182" s="3" t="s">
        <v>48</v>
      </c>
      <c r="K182" s="2">
        <v>105</v>
      </c>
      <c r="L182" s="2">
        <v>181</v>
      </c>
      <c r="M182">
        <f t="shared" ca="1" si="2"/>
        <v>0.38879339265706425</v>
      </c>
    </row>
    <row r="183" spans="1:13" x14ac:dyDescent="0.4">
      <c r="A183" t="s">
        <v>413</v>
      </c>
      <c r="B183" t="s">
        <v>414</v>
      </c>
      <c r="C183" t="s">
        <v>61</v>
      </c>
      <c r="D183" s="2">
        <v>50</v>
      </c>
      <c r="E183" s="2">
        <v>1</v>
      </c>
      <c r="F183" s="3">
        <v>0.33900000000000002</v>
      </c>
      <c r="G183" s="3">
        <v>9.3799999999999994E-2</v>
      </c>
      <c r="H183" s="3">
        <v>5.2100000000000002E-3</v>
      </c>
      <c r="I183" s="3">
        <v>4.3200000000000001E-3</v>
      </c>
      <c r="J183" s="3" t="s">
        <v>48</v>
      </c>
      <c r="K183" s="2">
        <v>155</v>
      </c>
      <c r="L183" s="2">
        <v>354</v>
      </c>
      <c r="M183">
        <f t="shared" ca="1" si="2"/>
        <v>0.98711140654240181</v>
      </c>
    </row>
    <row r="184" spans="1:13" x14ac:dyDescent="0.4">
      <c r="A184" t="s">
        <v>415</v>
      </c>
      <c r="B184" t="s">
        <v>416</v>
      </c>
      <c r="C184" t="s">
        <v>47</v>
      </c>
      <c r="D184" s="2">
        <v>7</v>
      </c>
      <c r="E184" s="2">
        <v>67</v>
      </c>
      <c r="F184" s="3">
        <v>0.77200000000000002</v>
      </c>
      <c r="G184" s="3">
        <v>3.0599999999999999E-2</v>
      </c>
      <c r="H184" s="3">
        <v>0.107</v>
      </c>
      <c r="I184" s="4">
        <v>1.13E-6</v>
      </c>
      <c r="J184" s="3" t="s">
        <v>48</v>
      </c>
      <c r="K184" s="2">
        <v>125</v>
      </c>
      <c r="L184" s="2">
        <v>222</v>
      </c>
      <c r="M184">
        <f t="shared" ca="1" si="2"/>
        <v>0.51020595357984466</v>
      </c>
    </row>
    <row r="185" spans="1:13" x14ac:dyDescent="0.4">
      <c r="A185" t="s">
        <v>417</v>
      </c>
      <c r="B185" t="s">
        <v>418</v>
      </c>
      <c r="C185" t="s">
        <v>66</v>
      </c>
      <c r="D185" s="2">
        <v>17</v>
      </c>
      <c r="E185" s="2">
        <v>61</v>
      </c>
      <c r="F185" s="3">
        <v>0.26300000000000001</v>
      </c>
      <c r="G185" s="3">
        <v>0.19</v>
      </c>
      <c r="H185" s="3">
        <v>0.58899999999999997</v>
      </c>
      <c r="I185" s="3">
        <v>4.5100000000000001E-3</v>
      </c>
      <c r="J185" s="3" t="s">
        <v>48</v>
      </c>
      <c r="K185" s="2">
        <v>167</v>
      </c>
      <c r="L185" s="2">
        <v>367</v>
      </c>
      <c r="M185">
        <f t="shared" ca="1" si="2"/>
        <v>0.98065683939244697</v>
      </c>
    </row>
    <row r="186" spans="1:13" x14ac:dyDescent="0.4">
      <c r="A186" t="s">
        <v>419</v>
      </c>
      <c r="B186" t="s">
        <v>420</v>
      </c>
      <c r="C186" t="s">
        <v>66</v>
      </c>
      <c r="D186" s="2">
        <v>4</v>
      </c>
      <c r="E186" s="2">
        <v>50</v>
      </c>
      <c r="F186" s="3">
        <v>0.47499999999999998</v>
      </c>
      <c r="G186" s="3">
        <v>0.185</v>
      </c>
      <c r="H186" s="3">
        <v>0.84</v>
      </c>
      <c r="I186" s="3">
        <v>0</v>
      </c>
      <c r="J186" s="3" t="s">
        <v>67</v>
      </c>
      <c r="K186" s="2">
        <v>143</v>
      </c>
      <c r="L186" s="2">
        <v>314</v>
      </c>
      <c r="M186">
        <f t="shared" ca="1" si="2"/>
        <v>0.19508763874015933</v>
      </c>
    </row>
    <row r="187" spans="1:13" x14ac:dyDescent="0.4">
      <c r="A187" t="s">
        <v>421</v>
      </c>
      <c r="B187" t="s">
        <v>422</v>
      </c>
      <c r="C187" t="s">
        <v>66</v>
      </c>
      <c r="D187" s="2">
        <v>7</v>
      </c>
      <c r="E187" s="2">
        <v>43</v>
      </c>
      <c r="F187" s="3">
        <v>0.73899999999999999</v>
      </c>
      <c r="G187" s="3">
        <v>4.1200000000000001E-2</v>
      </c>
      <c r="H187" s="3">
        <v>0.50800000000000001</v>
      </c>
      <c r="I187" s="3">
        <v>1.01E-3</v>
      </c>
      <c r="J187" s="3" t="s">
        <v>67</v>
      </c>
      <c r="K187" s="2">
        <v>75</v>
      </c>
      <c r="L187" s="2">
        <v>138</v>
      </c>
      <c r="M187">
        <f t="shared" ca="1" si="2"/>
        <v>0.48856127620143364</v>
      </c>
    </row>
    <row r="188" spans="1:13" x14ac:dyDescent="0.4">
      <c r="A188" t="s">
        <v>423</v>
      </c>
      <c r="B188" t="s">
        <v>424</v>
      </c>
      <c r="C188" t="s">
        <v>66</v>
      </c>
      <c r="D188" s="2">
        <v>12</v>
      </c>
      <c r="E188" s="2">
        <v>42</v>
      </c>
      <c r="F188" s="3">
        <v>0.77700000000000002</v>
      </c>
      <c r="G188" s="3">
        <v>4.41E-2</v>
      </c>
      <c r="H188" s="3">
        <v>0.30299999999999999</v>
      </c>
      <c r="I188" s="3">
        <v>0</v>
      </c>
      <c r="J188" s="3" t="s">
        <v>48</v>
      </c>
      <c r="K188" s="2">
        <v>98</v>
      </c>
      <c r="L188" s="2">
        <v>278</v>
      </c>
      <c r="M188">
        <f t="shared" ca="1" si="2"/>
        <v>7.9562093911677789E-2</v>
      </c>
    </row>
    <row r="189" spans="1:13" x14ac:dyDescent="0.4">
      <c r="A189" t="s">
        <v>425</v>
      </c>
      <c r="B189" t="s">
        <v>426</v>
      </c>
      <c r="C189" t="s">
        <v>47</v>
      </c>
      <c r="D189" s="2">
        <v>2</v>
      </c>
      <c r="E189" s="2">
        <v>38</v>
      </c>
      <c r="F189" s="3">
        <v>0.86299999999999999</v>
      </c>
      <c r="G189" s="3">
        <v>8.4699999999999998E-2</v>
      </c>
      <c r="H189" s="3">
        <v>0.14199999999999999</v>
      </c>
      <c r="I189" s="4">
        <v>3.4199999999999998E-5</v>
      </c>
      <c r="J189" s="3" t="s">
        <v>48</v>
      </c>
      <c r="K189" s="2">
        <v>118</v>
      </c>
      <c r="L189" s="2">
        <v>190</v>
      </c>
      <c r="M189">
        <f t="shared" ca="1" si="2"/>
        <v>0.49412339586470166</v>
      </c>
    </row>
    <row r="190" spans="1:13" x14ac:dyDescent="0.4">
      <c r="A190" t="s">
        <v>427</v>
      </c>
      <c r="B190" t="s">
        <v>428</v>
      </c>
      <c r="C190" t="s">
        <v>53</v>
      </c>
      <c r="D190" s="2">
        <v>17</v>
      </c>
      <c r="E190" s="2">
        <v>6</v>
      </c>
      <c r="F190" s="3">
        <v>0.81799999999999995</v>
      </c>
      <c r="G190" s="3">
        <v>0.224</v>
      </c>
      <c r="H190" s="3">
        <v>6.28E-3</v>
      </c>
      <c r="I190" s="4">
        <v>1.44E-4</v>
      </c>
      <c r="J190" s="3" t="s">
        <v>48</v>
      </c>
      <c r="K190" s="2">
        <v>94</v>
      </c>
      <c r="L190" s="2">
        <v>249</v>
      </c>
      <c r="M190">
        <f t="shared" ca="1" si="2"/>
        <v>0.43139051187410449</v>
      </c>
    </row>
    <row r="191" spans="1:13" x14ac:dyDescent="0.4">
      <c r="A191" t="s">
        <v>429</v>
      </c>
      <c r="B191" t="s">
        <v>430</v>
      </c>
      <c r="C191" t="s">
        <v>84</v>
      </c>
      <c r="D191" s="2">
        <v>26</v>
      </c>
      <c r="E191" s="2">
        <v>40</v>
      </c>
      <c r="F191" s="3">
        <v>0.75700000000000001</v>
      </c>
      <c r="G191" s="3">
        <v>0.24399999999999999</v>
      </c>
      <c r="H191" s="3">
        <v>0.28999999999999998</v>
      </c>
      <c r="I191" s="3">
        <v>0</v>
      </c>
      <c r="J191" s="3" t="s">
        <v>48</v>
      </c>
      <c r="K191" s="2">
        <v>83</v>
      </c>
      <c r="L191" s="2">
        <v>279</v>
      </c>
      <c r="M191">
        <f t="shared" ca="1" si="2"/>
        <v>0.61069927563679516</v>
      </c>
    </row>
    <row r="192" spans="1:13" x14ac:dyDescent="0.4">
      <c r="A192" t="s">
        <v>431</v>
      </c>
      <c r="B192" t="s">
        <v>432</v>
      </c>
      <c r="C192" t="s">
        <v>61</v>
      </c>
      <c r="D192" s="2">
        <v>47</v>
      </c>
      <c r="E192" s="2">
        <v>60</v>
      </c>
      <c r="F192" s="3">
        <v>0.373</v>
      </c>
      <c r="G192" s="3">
        <v>4.41E-2</v>
      </c>
      <c r="H192" s="3">
        <v>0.497</v>
      </c>
      <c r="I192" s="3">
        <v>1.24E-2</v>
      </c>
      <c r="J192" s="3" t="s">
        <v>48</v>
      </c>
      <c r="K192" s="2">
        <v>81</v>
      </c>
      <c r="L192" s="2">
        <v>216</v>
      </c>
      <c r="M192">
        <f t="shared" ca="1" si="2"/>
        <v>0.61331816722789112</v>
      </c>
    </row>
    <row r="193" spans="1:13" x14ac:dyDescent="0.4">
      <c r="A193" t="s">
        <v>433</v>
      </c>
      <c r="B193" t="s">
        <v>434</v>
      </c>
      <c r="C193" t="s">
        <v>53</v>
      </c>
      <c r="D193" s="2">
        <v>5</v>
      </c>
      <c r="E193" s="2">
        <v>58</v>
      </c>
      <c r="F193" s="3">
        <v>0.58899999999999997</v>
      </c>
      <c r="G193" s="3">
        <v>3.27E-2</v>
      </c>
      <c r="H193" s="3">
        <v>0.56799999999999995</v>
      </c>
      <c r="I193" s="3">
        <v>0</v>
      </c>
      <c r="J193" s="3" t="s">
        <v>48</v>
      </c>
      <c r="K193" s="2">
        <v>115</v>
      </c>
      <c r="L193" s="2">
        <v>182</v>
      </c>
      <c r="M193">
        <f t="shared" ca="1" si="2"/>
        <v>0.61375441602274594</v>
      </c>
    </row>
    <row r="194" spans="1:13" x14ac:dyDescent="0.4">
      <c r="A194" t="s">
        <v>435</v>
      </c>
      <c r="B194" t="s">
        <v>436</v>
      </c>
      <c r="C194" t="s">
        <v>47</v>
      </c>
      <c r="D194" s="2">
        <v>5</v>
      </c>
      <c r="E194" s="2">
        <v>34</v>
      </c>
      <c r="F194" s="3">
        <v>0.63400000000000001</v>
      </c>
      <c r="G194" s="3">
        <v>3.8899999999999997E-2</v>
      </c>
      <c r="H194" s="3">
        <v>9.3399999999999997E-2</v>
      </c>
      <c r="I194" s="3">
        <v>0.88900000000000001</v>
      </c>
      <c r="J194" s="3" t="s">
        <v>48</v>
      </c>
      <c r="K194" s="2">
        <v>129</v>
      </c>
      <c r="L194" s="2">
        <v>467</v>
      </c>
      <c r="M194">
        <f t="shared" ref="M194:M257" ca="1" si="3">RAND()</f>
        <v>3.5857198582744165E-2</v>
      </c>
    </row>
    <row r="195" spans="1:13" x14ac:dyDescent="0.4">
      <c r="A195" t="s">
        <v>437</v>
      </c>
      <c r="B195" t="s">
        <v>438</v>
      </c>
      <c r="C195" t="s">
        <v>84</v>
      </c>
      <c r="D195" s="2">
        <v>17</v>
      </c>
      <c r="E195" s="2">
        <v>49</v>
      </c>
      <c r="F195" s="3">
        <v>0.92700000000000005</v>
      </c>
      <c r="G195" s="3">
        <v>0.30099999999999999</v>
      </c>
      <c r="H195" s="3">
        <v>9.7900000000000001E-2</v>
      </c>
      <c r="I195" s="3">
        <v>0</v>
      </c>
      <c r="J195" s="3" t="s">
        <v>48</v>
      </c>
      <c r="K195" s="2">
        <v>95</v>
      </c>
      <c r="L195" s="2">
        <v>225</v>
      </c>
      <c r="M195">
        <f t="shared" ca="1" si="3"/>
        <v>0.94814766395028793</v>
      </c>
    </row>
    <row r="196" spans="1:13" x14ac:dyDescent="0.4">
      <c r="A196" t="s">
        <v>439</v>
      </c>
      <c r="B196" t="s">
        <v>440</v>
      </c>
      <c r="C196" t="s">
        <v>47</v>
      </c>
      <c r="D196" s="2">
        <v>1</v>
      </c>
      <c r="E196" s="2">
        <v>16</v>
      </c>
      <c r="F196" s="3">
        <v>0.65800000000000003</v>
      </c>
      <c r="G196" s="3">
        <v>3.7600000000000001E-2</v>
      </c>
      <c r="H196" s="3">
        <v>8.3199999999999993E-3</v>
      </c>
      <c r="I196" s="3">
        <v>1.2999999999999999E-3</v>
      </c>
      <c r="J196" s="3" t="s">
        <v>48</v>
      </c>
      <c r="K196" s="2">
        <v>110</v>
      </c>
      <c r="L196" s="2">
        <v>216</v>
      </c>
      <c r="M196">
        <f t="shared" ca="1" si="3"/>
        <v>0.15703997435043304</v>
      </c>
    </row>
    <row r="197" spans="1:13" x14ac:dyDescent="0.4">
      <c r="A197" t="s">
        <v>441</v>
      </c>
      <c r="B197" t="s">
        <v>442</v>
      </c>
      <c r="C197" t="s">
        <v>61</v>
      </c>
      <c r="D197" s="2">
        <v>45</v>
      </c>
      <c r="E197" s="2">
        <v>47</v>
      </c>
      <c r="F197" s="3">
        <v>0.29199999999999998</v>
      </c>
      <c r="G197" s="3">
        <v>6.5000000000000002E-2</v>
      </c>
      <c r="H197" s="3">
        <v>1.1299999999999999E-2</v>
      </c>
      <c r="I197" s="4">
        <v>5.6300000000000003E-6</v>
      </c>
      <c r="J197" s="3" t="s">
        <v>48</v>
      </c>
      <c r="K197" s="2">
        <v>144</v>
      </c>
      <c r="L197" s="2">
        <v>185</v>
      </c>
      <c r="M197">
        <f t="shared" ca="1" si="3"/>
        <v>0.45684840005926797</v>
      </c>
    </row>
    <row r="198" spans="1:13" x14ac:dyDescent="0.4">
      <c r="A198" t="s">
        <v>443</v>
      </c>
      <c r="B198" t="s">
        <v>444</v>
      </c>
      <c r="C198" t="s">
        <v>56</v>
      </c>
      <c r="D198" s="2">
        <v>1</v>
      </c>
      <c r="E198" s="2">
        <v>11</v>
      </c>
      <c r="F198" s="3">
        <v>0.67200000000000004</v>
      </c>
      <c r="G198" s="3">
        <v>3.1E-2</v>
      </c>
      <c r="H198" s="3">
        <v>0.14699999999999999</v>
      </c>
      <c r="I198" s="4">
        <v>2.5300000000000002E-4</v>
      </c>
      <c r="J198" s="3" t="s">
        <v>48</v>
      </c>
      <c r="K198" s="2">
        <v>126</v>
      </c>
      <c r="L198" s="2">
        <v>194</v>
      </c>
      <c r="M198">
        <f t="shared" ca="1" si="3"/>
        <v>1.6574861152344078E-2</v>
      </c>
    </row>
    <row r="199" spans="1:13" x14ac:dyDescent="0.4">
      <c r="A199" t="s">
        <v>445</v>
      </c>
      <c r="B199" t="s">
        <v>446</v>
      </c>
      <c r="C199" t="s">
        <v>56</v>
      </c>
      <c r="D199" s="2">
        <v>1</v>
      </c>
      <c r="E199" s="2">
        <v>67</v>
      </c>
      <c r="F199" s="3">
        <v>0.72299999999999998</v>
      </c>
      <c r="G199" s="3">
        <v>4.02E-2</v>
      </c>
      <c r="H199" s="3">
        <v>0.64600000000000002</v>
      </c>
      <c r="I199" s="3">
        <v>0</v>
      </c>
      <c r="J199" s="3" t="s">
        <v>48</v>
      </c>
      <c r="K199" s="2">
        <v>172</v>
      </c>
      <c r="L199" s="2">
        <v>150</v>
      </c>
      <c r="M199">
        <f t="shared" ca="1" si="3"/>
        <v>0.15448991574424309</v>
      </c>
    </row>
    <row r="200" spans="1:13" x14ac:dyDescent="0.4">
      <c r="A200" t="s">
        <v>447</v>
      </c>
      <c r="B200" t="s">
        <v>448</v>
      </c>
      <c r="C200" t="s">
        <v>47</v>
      </c>
      <c r="D200" s="2">
        <v>1</v>
      </c>
      <c r="E200" s="2">
        <v>27</v>
      </c>
      <c r="F200" s="3">
        <v>0.39700000000000002</v>
      </c>
      <c r="G200" s="3">
        <v>0.33100000000000002</v>
      </c>
      <c r="H200" s="3">
        <v>4.7600000000000003E-2</v>
      </c>
      <c r="I200" s="3">
        <v>0</v>
      </c>
      <c r="J200" s="3" t="s">
        <v>48</v>
      </c>
      <c r="K200" s="2">
        <v>88</v>
      </c>
      <c r="L200" s="2">
        <v>237</v>
      </c>
      <c r="M200">
        <f t="shared" ca="1" si="3"/>
        <v>0.97243259114917213</v>
      </c>
    </row>
    <row r="201" spans="1:13" x14ac:dyDescent="0.4">
      <c r="A201" t="s">
        <v>449</v>
      </c>
      <c r="B201" t="s">
        <v>450</v>
      </c>
      <c r="C201" t="s">
        <v>53</v>
      </c>
      <c r="D201" s="2">
        <v>8</v>
      </c>
      <c r="E201" s="2">
        <v>61</v>
      </c>
      <c r="F201" s="3">
        <v>0.78800000000000003</v>
      </c>
      <c r="G201" s="3">
        <v>5.3699999999999998E-2</v>
      </c>
      <c r="H201" s="3">
        <v>0.28100000000000003</v>
      </c>
      <c r="I201" s="3">
        <v>3.3000000000000002E-2</v>
      </c>
      <c r="J201" s="3" t="s">
        <v>48</v>
      </c>
      <c r="K201" s="2">
        <v>95</v>
      </c>
      <c r="L201" s="2">
        <v>215</v>
      </c>
      <c r="M201">
        <f t="shared" ca="1" si="3"/>
        <v>0.97518253528961241</v>
      </c>
    </row>
    <row r="202" spans="1:13" x14ac:dyDescent="0.4">
      <c r="A202" t="s">
        <v>451</v>
      </c>
      <c r="B202" t="s">
        <v>452</v>
      </c>
      <c r="C202" t="s">
        <v>53</v>
      </c>
      <c r="D202" s="2">
        <v>18</v>
      </c>
      <c r="E202" s="2">
        <v>54</v>
      </c>
      <c r="F202" s="3">
        <v>0.81799999999999995</v>
      </c>
      <c r="G202" s="3">
        <v>2.8400000000000002E-2</v>
      </c>
      <c r="H202" s="3">
        <v>5.9799999999999999E-2</v>
      </c>
      <c r="I202" s="4">
        <v>4.4000000000000002E-6</v>
      </c>
      <c r="J202" s="3" t="s">
        <v>48</v>
      </c>
      <c r="K202" s="2">
        <v>129</v>
      </c>
      <c r="L202" s="2">
        <v>256</v>
      </c>
      <c r="M202">
        <f t="shared" ca="1" si="3"/>
        <v>0.90529388189904636</v>
      </c>
    </row>
    <row r="203" spans="1:13" x14ac:dyDescent="0.4">
      <c r="A203" t="s">
        <v>453</v>
      </c>
      <c r="B203" t="s">
        <v>454</v>
      </c>
      <c r="C203" t="s">
        <v>47</v>
      </c>
      <c r="D203" s="2">
        <v>37</v>
      </c>
      <c r="E203" s="2">
        <v>49</v>
      </c>
      <c r="F203" s="3">
        <v>0.77200000000000002</v>
      </c>
      <c r="G203" s="3">
        <v>3.5200000000000002E-2</v>
      </c>
      <c r="H203" s="3">
        <v>3.0300000000000001E-2</v>
      </c>
      <c r="I203" s="3">
        <v>0</v>
      </c>
      <c r="J203" s="3" t="s">
        <v>48</v>
      </c>
      <c r="K203" s="2">
        <v>122</v>
      </c>
      <c r="L203" s="2">
        <v>275</v>
      </c>
      <c r="M203">
        <f t="shared" ca="1" si="3"/>
        <v>0.59502471912193555</v>
      </c>
    </row>
    <row r="204" spans="1:13" x14ac:dyDescent="0.4">
      <c r="A204" t="s">
        <v>455</v>
      </c>
      <c r="B204" t="s">
        <v>456</v>
      </c>
      <c r="C204" t="s">
        <v>56</v>
      </c>
      <c r="D204" s="2">
        <v>4</v>
      </c>
      <c r="E204" s="2">
        <v>4</v>
      </c>
      <c r="F204" s="3">
        <v>0.66600000000000004</v>
      </c>
      <c r="G204" s="3">
        <v>5.1400000000000001E-2</v>
      </c>
      <c r="H204" s="3">
        <v>1.66E-2</v>
      </c>
      <c r="I204" s="3">
        <v>0.63700000000000001</v>
      </c>
      <c r="J204" s="3" t="s">
        <v>48</v>
      </c>
      <c r="K204" s="2">
        <v>125</v>
      </c>
      <c r="L204" s="2">
        <v>445</v>
      </c>
      <c r="M204">
        <f t="shared" ca="1" si="3"/>
        <v>0.61835210508744509</v>
      </c>
    </row>
    <row r="205" spans="1:13" x14ac:dyDescent="0.4">
      <c r="A205" t="s">
        <v>457</v>
      </c>
      <c r="B205" t="s">
        <v>458</v>
      </c>
      <c r="C205" t="s">
        <v>53</v>
      </c>
      <c r="D205" s="2">
        <v>5</v>
      </c>
      <c r="E205" s="2">
        <v>50</v>
      </c>
      <c r="F205" s="3">
        <v>0.77700000000000002</v>
      </c>
      <c r="G205" s="3">
        <v>3.0300000000000001E-2</v>
      </c>
      <c r="H205" s="3">
        <v>0.186</v>
      </c>
      <c r="I205" s="4">
        <v>8.9299999999999992E-6</v>
      </c>
      <c r="J205" s="3" t="s">
        <v>48</v>
      </c>
      <c r="K205" s="2">
        <v>115</v>
      </c>
      <c r="L205" s="2">
        <v>226</v>
      </c>
      <c r="M205">
        <f t="shared" ca="1" si="3"/>
        <v>0.28206687638673278</v>
      </c>
    </row>
    <row r="206" spans="1:13" x14ac:dyDescent="0.4">
      <c r="A206" t="s">
        <v>459</v>
      </c>
      <c r="B206" t="s">
        <v>460</v>
      </c>
      <c r="C206" t="s">
        <v>66</v>
      </c>
      <c r="D206" s="2">
        <v>1</v>
      </c>
      <c r="E206" s="2">
        <v>57</v>
      </c>
      <c r="F206" s="3">
        <v>0.498</v>
      </c>
      <c r="G206" s="3">
        <v>0.26800000000000002</v>
      </c>
      <c r="H206" s="3">
        <v>1.11E-2</v>
      </c>
      <c r="I206" s="3">
        <v>0</v>
      </c>
      <c r="J206" s="3" t="s">
        <v>48</v>
      </c>
      <c r="K206" s="2">
        <v>88</v>
      </c>
      <c r="L206" s="2">
        <v>254</v>
      </c>
      <c r="M206">
        <f t="shared" ca="1" si="3"/>
        <v>0.52437053389046528</v>
      </c>
    </row>
    <row r="207" spans="1:13" x14ac:dyDescent="0.4">
      <c r="A207" t="s">
        <v>461</v>
      </c>
      <c r="B207" t="s">
        <v>462</v>
      </c>
      <c r="C207" t="s">
        <v>47</v>
      </c>
      <c r="D207" s="2">
        <v>1</v>
      </c>
      <c r="E207" s="2">
        <v>48</v>
      </c>
      <c r="F207" s="3">
        <v>0.309</v>
      </c>
      <c r="G207" s="3">
        <v>7.7100000000000002E-2</v>
      </c>
      <c r="H207" s="3">
        <v>1.3599999999999999E-2</v>
      </c>
      <c r="I207" s="3">
        <v>0</v>
      </c>
      <c r="J207" s="3" t="s">
        <v>48</v>
      </c>
      <c r="K207" s="2">
        <v>112</v>
      </c>
      <c r="L207" s="2">
        <v>257</v>
      </c>
      <c r="M207">
        <f t="shared" ca="1" si="3"/>
        <v>0.33956112489219947</v>
      </c>
    </row>
    <row r="208" spans="1:13" x14ac:dyDescent="0.4">
      <c r="A208" t="s">
        <v>463</v>
      </c>
      <c r="B208" t="s">
        <v>464</v>
      </c>
      <c r="C208" t="s">
        <v>84</v>
      </c>
      <c r="D208" s="2">
        <v>7</v>
      </c>
      <c r="E208" s="2">
        <v>3</v>
      </c>
      <c r="F208" s="3">
        <v>0.93600000000000005</v>
      </c>
      <c r="G208" s="3">
        <v>0.28199999999999997</v>
      </c>
      <c r="H208" s="3">
        <v>3.9100000000000003E-3</v>
      </c>
      <c r="I208" s="4">
        <v>3.3900000000000002E-6</v>
      </c>
      <c r="J208" s="3" t="s">
        <v>48</v>
      </c>
      <c r="K208" s="2">
        <v>128</v>
      </c>
      <c r="L208" s="2">
        <v>261</v>
      </c>
      <c r="M208">
        <f t="shared" ca="1" si="3"/>
        <v>0.16641743194657899</v>
      </c>
    </row>
    <row r="209" spans="1:13" x14ac:dyDescent="0.4">
      <c r="A209" t="s">
        <v>465</v>
      </c>
      <c r="B209" t="s">
        <v>466</v>
      </c>
      <c r="C209" t="s">
        <v>47</v>
      </c>
      <c r="D209" s="2">
        <v>2</v>
      </c>
      <c r="E209" s="2">
        <v>72</v>
      </c>
      <c r="F209" s="3">
        <v>0.60799999999999998</v>
      </c>
      <c r="G209" s="3">
        <v>4.3200000000000002E-2</v>
      </c>
      <c r="H209" s="3">
        <v>7.3599999999999999E-2</v>
      </c>
      <c r="I209" s="3">
        <v>0</v>
      </c>
      <c r="J209" s="3" t="s">
        <v>48</v>
      </c>
      <c r="K209" s="2">
        <v>93</v>
      </c>
      <c r="L209" s="2">
        <v>185</v>
      </c>
      <c r="M209">
        <f t="shared" ca="1" si="3"/>
        <v>0.31025889886494773</v>
      </c>
    </row>
    <row r="210" spans="1:13" x14ac:dyDescent="0.4">
      <c r="A210" t="s">
        <v>467</v>
      </c>
      <c r="B210" t="s">
        <v>468</v>
      </c>
      <c r="C210" t="s">
        <v>47</v>
      </c>
      <c r="D210" s="2">
        <v>10</v>
      </c>
      <c r="E210" s="2">
        <v>4</v>
      </c>
      <c r="F210" s="3">
        <v>0.34</v>
      </c>
      <c r="G210" s="3">
        <v>5.8200000000000002E-2</v>
      </c>
      <c r="H210" s="4">
        <v>1.05E-4</v>
      </c>
      <c r="I210" s="3">
        <v>0.76200000000000001</v>
      </c>
      <c r="J210" s="3" t="s">
        <v>48</v>
      </c>
      <c r="K210" s="2">
        <v>172</v>
      </c>
      <c r="L210" s="2">
        <v>192</v>
      </c>
      <c r="M210">
        <f t="shared" ca="1" si="3"/>
        <v>0.32710118023286261</v>
      </c>
    </row>
    <row r="211" spans="1:13" x14ac:dyDescent="0.4">
      <c r="A211" t="s">
        <v>469</v>
      </c>
      <c r="B211" t="s">
        <v>470</v>
      </c>
      <c r="C211" t="s">
        <v>47</v>
      </c>
      <c r="D211" s="2">
        <v>8</v>
      </c>
      <c r="E211" s="2">
        <v>55</v>
      </c>
      <c r="F211" s="3">
        <v>0.56200000000000006</v>
      </c>
      <c r="G211" s="3">
        <v>0.437</v>
      </c>
      <c r="H211" s="3">
        <v>0.66800000000000004</v>
      </c>
      <c r="I211" s="4">
        <v>2.88E-6</v>
      </c>
      <c r="J211" s="3" t="s">
        <v>48</v>
      </c>
      <c r="K211" s="2">
        <v>169</v>
      </c>
      <c r="L211" s="2">
        <v>264</v>
      </c>
      <c r="M211">
        <f t="shared" ca="1" si="3"/>
        <v>9.3829511494636586E-2</v>
      </c>
    </row>
    <row r="212" spans="1:13" x14ac:dyDescent="0.4">
      <c r="A212" t="s">
        <v>471</v>
      </c>
      <c r="B212" t="s">
        <v>472</v>
      </c>
      <c r="C212" t="s">
        <v>56</v>
      </c>
      <c r="D212" s="2">
        <v>1</v>
      </c>
      <c r="E212" s="2">
        <v>40</v>
      </c>
      <c r="F212" s="3">
        <v>0.59699999999999998</v>
      </c>
      <c r="G212" s="3">
        <v>3.4500000000000003E-2</v>
      </c>
      <c r="H212" s="3">
        <v>2.4399999999999999E-3</v>
      </c>
      <c r="I212" s="3">
        <v>0.114</v>
      </c>
      <c r="J212" s="3" t="s">
        <v>48</v>
      </c>
      <c r="K212" s="2">
        <v>124</v>
      </c>
      <c r="L212" s="2">
        <v>291</v>
      </c>
      <c r="M212">
        <f t="shared" ca="1" si="3"/>
        <v>0.69792469485537123</v>
      </c>
    </row>
    <row r="213" spans="1:13" x14ac:dyDescent="0.4">
      <c r="A213" t="s">
        <v>473</v>
      </c>
      <c r="B213" t="s">
        <v>474</v>
      </c>
      <c r="C213" t="s">
        <v>61</v>
      </c>
      <c r="D213" s="2">
        <v>22</v>
      </c>
      <c r="E213" s="2">
        <v>55</v>
      </c>
      <c r="F213" s="3">
        <v>0.44500000000000001</v>
      </c>
      <c r="G213" s="3">
        <v>6.0199999999999997E-2</v>
      </c>
      <c r="H213" s="3">
        <v>4.0200000000000001E-3</v>
      </c>
      <c r="I213" s="3">
        <v>9.0900000000000009E-3</v>
      </c>
      <c r="J213" s="3" t="s">
        <v>48</v>
      </c>
      <c r="K213" s="2">
        <v>162</v>
      </c>
      <c r="L213" s="2">
        <v>208</v>
      </c>
      <c r="M213">
        <f t="shared" ca="1" si="3"/>
        <v>0.7949664449144358</v>
      </c>
    </row>
    <row r="214" spans="1:13" x14ac:dyDescent="0.4">
      <c r="A214" t="s">
        <v>475</v>
      </c>
      <c r="B214" t="s">
        <v>476</v>
      </c>
      <c r="C214" t="s">
        <v>84</v>
      </c>
      <c r="D214" s="2">
        <v>14</v>
      </c>
      <c r="E214" s="2">
        <v>55</v>
      </c>
      <c r="F214" s="3">
        <v>0.72299999999999998</v>
      </c>
      <c r="G214" s="3">
        <v>0.222</v>
      </c>
      <c r="H214" s="3">
        <v>3.0799999999999998E-3</v>
      </c>
      <c r="I214" s="3">
        <v>0</v>
      </c>
      <c r="J214" s="3" t="s">
        <v>48</v>
      </c>
      <c r="K214" s="2">
        <v>144</v>
      </c>
      <c r="L214" s="2">
        <v>261</v>
      </c>
      <c r="M214">
        <f t="shared" ca="1" si="3"/>
        <v>0.79954142528767747</v>
      </c>
    </row>
    <row r="215" spans="1:13" x14ac:dyDescent="0.4">
      <c r="A215" t="s">
        <v>477</v>
      </c>
      <c r="B215" t="s">
        <v>478</v>
      </c>
      <c r="C215" t="s">
        <v>61</v>
      </c>
      <c r="D215" s="2">
        <v>16</v>
      </c>
      <c r="E215" s="2">
        <v>55</v>
      </c>
      <c r="F215" s="3">
        <v>0.53900000000000003</v>
      </c>
      <c r="G215" s="3">
        <v>5.3400000000000003E-2</v>
      </c>
      <c r="H215" s="4">
        <v>1.13E-4</v>
      </c>
      <c r="I215" s="4">
        <v>4.1699999999999997E-5</v>
      </c>
      <c r="J215" s="3" t="s">
        <v>48</v>
      </c>
      <c r="K215" s="2">
        <v>104</v>
      </c>
      <c r="L215" s="2">
        <v>191</v>
      </c>
      <c r="M215">
        <f t="shared" ca="1" si="3"/>
        <v>0.25571177545647761</v>
      </c>
    </row>
    <row r="216" spans="1:13" x14ac:dyDescent="0.4">
      <c r="A216" t="s">
        <v>479</v>
      </c>
      <c r="B216" t="s">
        <v>480</v>
      </c>
      <c r="C216" t="s">
        <v>61</v>
      </c>
      <c r="D216" s="2">
        <v>30</v>
      </c>
      <c r="E216" s="2">
        <v>3</v>
      </c>
      <c r="F216" s="3">
        <v>0.625</v>
      </c>
      <c r="G216" s="3">
        <v>3.7499999999999999E-2</v>
      </c>
      <c r="H216" s="3">
        <v>7.8600000000000003E-2</v>
      </c>
      <c r="I216" s="4">
        <v>1.3699999999999999E-5</v>
      </c>
      <c r="J216" s="3" t="s">
        <v>48</v>
      </c>
      <c r="K216" s="2">
        <v>150</v>
      </c>
      <c r="L216" s="2">
        <v>235</v>
      </c>
      <c r="M216">
        <f t="shared" ca="1" si="3"/>
        <v>7.3991835512534632E-2</v>
      </c>
    </row>
    <row r="217" spans="1:13" x14ac:dyDescent="0.4">
      <c r="A217" t="s">
        <v>481</v>
      </c>
      <c r="B217" t="s">
        <v>400</v>
      </c>
      <c r="C217" t="s">
        <v>61</v>
      </c>
      <c r="D217" s="2">
        <v>41</v>
      </c>
      <c r="E217" s="2">
        <v>4</v>
      </c>
      <c r="F217" s="3">
        <v>0.42899999999999999</v>
      </c>
      <c r="G217" s="3">
        <v>3.1E-2</v>
      </c>
      <c r="H217" s="3">
        <v>0.34899999999999998</v>
      </c>
      <c r="I217" s="3">
        <v>1.29E-2</v>
      </c>
      <c r="J217" s="3" t="s">
        <v>67</v>
      </c>
      <c r="K217" s="2">
        <v>118</v>
      </c>
      <c r="L217" s="2">
        <v>391</v>
      </c>
      <c r="M217">
        <f t="shared" ca="1" si="3"/>
        <v>3.4151360225189276E-2</v>
      </c>
    </row>
    <row r="218" spans="1:13" x14ac:dyDescent="0.4">
      <c r="A218" t="s">
        <v>482</v>
      </c>
      <c r="B218" t="s">
        <v>483</v>
      </c>
      <c r="C218" t="s">
        <v>53</v>
      </c>
      <c r="D218" s="2">
        <v>1</v>
      </c>
      <c r="E218" s="2">
        <v>50</v>
      </c>
      <c r="F218" s="3">
        <v>0.65900000000000003</v>
      </c>
      <c r="G218" s="3">
        <v>0.151</v>
      </c>
      <c r="H218" s="3">
        <v>0.29899999999999999</v>
      </c>
      <c r="I218" s="4">
        <v>2.9899999999999998E-5</v>
      </c>
      <c r="J218" s="3" t="s">
        <v>67</v>
      </c>
      <c r="K218" s="2">
        <v>176</v>
      </c>
      <c r="L218" s="2">
        <v>191</v>
      </c>
      <c r="M218">
        <f t="shared" ca="1" si="3"/>
        <v>0.746152329714587</v>
      </c>
    </row>
    <row r="219" spans="1:13" x14ac:dyDescent="0.4">
      <c r="A219" t="s">
        <v>484</v>
      </c>
      <c r="B219" t="s">
        <v>485</v>
      </c>
      <c r="C219" t="s">
        <v>53</v>
      </c>
      <c r="D219" s="2">
        <v>5</v>
      </c>
      <c r="E219" s="2">
        <v>60</v>
      </c>
      <c r="F219" s="3">
        <v>0.76800000000000002</v>
      </c>
      <c r="G219" s="3">
        <v>4.1500000000000002E-2</v>
      </c>
      <c r="H219" s="3">
        <v>0.313</v>
      </c>
      <c r="I219" s="3">
        <v>2.53E-2</v>
      </c>
      <c r="J219" s="3" t="s">
        <v>48</v>
      </c>
      <c r="K219" s="2">
        <v>106</v>
      </c>
      <c r="L219" s="2">
        <v>224</v>
      </c>
      <c r="M219">
        <f t="shared" ca="1" si="3"/>
        <v>0.55345474227647817</v>
      </c>
    </row>
    <row r="220" spans="1:13" x14ac:dyDescent="0.4">
      <c r="A220" t="s">
        <v>486</v>
      </c>
      <c r="B220" t="s">
        <v>272</v>
      </c>
      <c r="C220" t="s">
        <v>56</v>
      </c>
      <c r="D220" s="2">
        <v>8</v>
      </c>
      <c r="E220" s="2">
        <v>40</v>
      </c>
      <c r="F220" s="3">
        <v>0.56399999999999995</v>
      </c>
      <c r="G220" s="3">
        <v>0.15</v>
      </c>
      <c r="H220" s="3">
        <v>5.3600000000000002E-3</v>
      </c>
      <c r="I220" s="4">
        <v>5.5699999999999999E-4</v>
      </c>
      <c r="J220" s="3" t="s">
        <v>67</v>
      </c>
      <c r="K220" s="2">
        <v>126</v>
      </c>
      <c r="L220" s="2">
        <v>371</v>
      </c>
      <c r="M220">
        <f t="shared" ca="1" si="3"/>
        <v>0.22917737358353119</v>
      </c>
    </row>
    <row r="221" spans="1:13" x14ac:dyDescent="0.4">
      <c r="A221" t="s">
        <v>487</v>
      </c>
      <c r="B221" t="s">
        <v>488</v>
      </c>
      <c r="C221" t="s">
        <v>61</v>
      </c>
      <c r="D221" s="2">
        <v>49</v>
      </c>
      <c r="E221" s="2">
        <v>45</v>
      </c>
      <c r="F221" s="3">
        <v>0.4</v>
      </c>
      <c r="G221" s="3">
        <v>2.8799999999999999E-2</v>
      </c>
      <c r="H221" s="3">
        <v>0.93799999999999994</v>
      </c>
      <c r="I221" s="4">
        <v>5.2099999999999998E-4</v>
      </c>
      <c r="J221" s="3" t="s">
        <v>67</v>
      </c>
      <c r="K221" s="2">
        <v>70</v>
      </c>
      <c r="L221" s="2">
        <v>258</v>
      </c>
      <c r="M221">
        <f t="shared" ca="1" si="3"/>
        <v>0.44902462104561103</v>
      </c>
    </row>
    <row r="222" spans="1:13" x14ac:dyDescent="0.4">
      <c r="A222" t="s">
        <v>489</v>
      </c>
      <c r="B222" t="s">
        <v>490</v>
      </c>
      <c r="C222" t="s">
        <v>47</v>
      </c>
      <c r="D222" s="2">
        <v>33</v>
      </c>
      <c r="E222" s="2">
        <v>19</v>
      </c>
      <c r="F222" s="3">
        <v>0.38400000000000001</v>
      </c>
      <c r="G222" s="3">
        <v>3.6499999999999998E-2</v>
      </c>
      <c r="H222" s="3">
        <v>0.151</v>
      </c>
      <c r="I222" s="4">
        <v>7.7299999999999995E-5</v>
      </c>
      <c r="J222" s="3" t="s">
        <v>48</v>
      </c>
      <c r="K222" s="2">
        <v>90</v>
      </c>
      <c r="L222" s="2">
        <v>276</v>
      </c>
      <c r="M222">
        <f t="shared" ca="1" si="3"/>
        <v>0.26009049926392713</v>
      </c>
    </row>
    <row r="223" spans="1:13" x14ac:dyDescent="0.4">
      <c r="A223" t="s">
        <v>491</v>
      </c>
      <c r="B223" t="s">
        <v>492</v>
      </c>
      <c r="C223" t="s">
        <v>47</v>
      </c>
      <c r="D223" s="2">
        <v>6</v>
      </c>
      <c r="E223" s="2">
        <v>84</v>
      </c>
      <c r="F223" s="3">
        <v>0.61399999999999999</v>
      </c>
      <c r="G223" s="3">
        <v>4.7600000000000003E-2</v>
      </c>
      <c r="H223" s="3">
        <v>0.60699999999999998</v>
      </c>
      <c r="I223" s="4">
        <v>4.64E-4</v>
      </c>
      <c r="J223" s="3" t="s">
        <v>67</v>
      </c>
      <c r="K223" s="2">
        <v>108</v>
      </c>
      <c r="L223" s="2">
        <v>259</v>
      </c>
      <c r="M223">
        <f t="shared" ca="1" si="3"/>
        <v>1.0002924762491983E-2</v>
      </c>
    </row>
    <row r="224" spans="1:13" x14ac:dyDescent="0.4">
      <c r="A224" t="s">
        <v>493</v>
      </c>
      <c r="B224" t="s">
        <v>494</v>
      </c>
      <c r="C224" t="s">
        <v>84</v>
      </c>
      <c r="D224" s="2">
        <v>1</v>
      </c>
      <c r="E224" s="2">
        <v>53</v>
      </c>
      <c r="F224" s="3">
        <v>0.77100000000000002</v>
      </c>
      <c r="G224" s="3">
        <v>0.376</v>
      </c>
      <c r="H224" s="3">
        <v>0.111</v>
      </c>
      <c r="I224" s="3">
        <v>0</v>
      </c>
      <c r="J224" s="3" t="s">
        <v>48</v>
      </c>
      <c r="K224" s="2">
        <v>160</v>
      </c>
      <c r="L224" s="2">
        <v>260</v>
      </c>
      <c r="M224">
        <f t="shared" ca="1" si="3"/>
        <v>0.95856977600190951</v>
      </c>
    </row>
    <row r="225" spans="1:13" x14ac:dyDescent="0.4">
      <c r="A225" t="s">
        <v>495</v>
      </c>
      <c r="B225" t="s">
        <v>496</v>
      </c>
      <c r="C225" t="s">
        <v>84</v>
      </c>
      <c r="D225" s="2">
        <v>6</v>
      </c>
      <c r="E225" s="2">
        <v>49</v>
      </c>
      <c r="F225" s="3">
        <v>0.45800000000000002</v>
      </c>
      <c r="G225" s="3">
        <v>0.111</v>
      </c>
      <c r="H225" s="3">
        <v>1.4E-3</v>
      </c>
      <c r="I225" s="4">
        <v>1.05E-4</v>
      </c>
      <c r="J225" s="3" t="s">
        <v>48</v>
      </c>
      <c r="K225" s="2">
        <v>85</v>
      </c>
      <c r="L225" s="2">
        <v>248</v>
      </c>
      <c r="M225">
        <f t="shared" ca="1" si="3"/>
        <v>0.53736990379089178</v>
      </c>
    </row>
    <row r="226" spans="1:13" x14ac:dyDescent="0.4">
      <c r="A226" t="s">
        <v>497</v>
      </c>
      <c r="B226" t="s">
        <v>498</v>
      </c>
      <c r="C226" t="s">
        <v>47</v>
      </c>
      <c r="D226" s="2">
        <v>1</v>
      </c>
      <c r="E226" s="2">
        <v>70</v>
      </c>
      <c r="F226" s="3">
        <v>0.68400000000000005</v>
      </c>
      <c r="G226" s="3">
        <v>8.8200000000000001E-2</v>
      </c>
      <c r="H226" s="3">
        <v>0.27600000000000002</v>
      </c>
      <c r="I226" s="3">
        <v>0</v>
      </c>
      <c r="J226" s="3" t="s">
        <v>48</v>
      </c>
      <c r="K226" s="2">
        <v>99</v>
      </c>
      <c r="L226" s="2">
        <v>217</v>
      </c>
      <c r="M226">
        <f t="shared" ca="1" si="3"/>
        <v>0.9335437785508669</v>
      </c>
    </row>
    <row r="227" spans="1:13" x14ac:dyDescent="0.4">
      <c r="A227" t="s">
        <v>499</v>
      </c>
      <c r="B227" t="s">
        <v>500</v>
      </c>
      <c r="C227" t="s">
        <v>84</v>
      </c>
      <c r="D227" s="2">
        <v>19</v>
      </c>
      <c r="E227" s="2">
        <v>42</v>
      </c>
      <c r="F227" s="3">
        <v>0.55900000000000005</v>
      </c>
      <c r="G227" s="3">
        <v>0.32700000000000001</v>
      </c>
      <c r="H227" s="3">
        <v>2.7199999999999998E-2</v>
      </c>
      <c r="I227" s="3">
        <v>5.7200000000000001E-2</v>
      </c>
      <c r="J227" s="3" t="s">
        <v>48</v>
      </c>
      <c r="K227" s="2">
        <v>85</v>
      </c>
      <c r="L227" s="2">
        <v>303</v>
      </c>
      <c r="M227">
        <f t="shared" ca="1" si="3"/>
        <v>0.48424859151077071</v>
      </c>
    </row>
    <row r="228" spans="1:13" x14ac:dyDescent="0.4">
      <c r="A228" t="s">
        <v>501</v>
      </c>
      <c r="B228" t="s">
        <v>502</v>
      </c>
      <c r="C228" t="s">
        <v>66</v>
      </c>
      <c r="D228" s="2">
        <v>11</v>
      </c>
      <c r="E228" s="2">
        <v>10</v>
      </c>
      <c r="F228" s="3">
        <v>0.40699999999999997</v>
      </c>
      <c r="G228" s="3">
        <v>5.0500000000000003E-2</v>
      </c>
      <c r="H228" s="3">
        <v>0.69299999999999995</v>
      </c>
      <c r="I228" s="4">
        <v>1.84E-5</v>
      </c>
      <c r="J228" s="3" t="s">
        <v>67</v>
      </c>
      <c r="K228" s="2">
        <v>150</v>
      </c>
      <c r="L228" s="2">
        <v>156</v>
      </c>
      <c r="M228">
        <f t="shared" ca="1" si="3"/>
        <v>0.70938503691789001</v>
      </c>
    </row>
    <row r="229" spans="1:13" x14ac:dyDescent="0.4">
      <c r="A229" t="s">
        <v>503</v>
      </c>
      <c r="B229" t="s">
        <v>504</v>
      </c>
      <c r="C229" t="s">
        <v>56</v>
      </c>
      <c r="D229" s="2">
        <v>2</v>
      </c>
      <c r="E229" s="2">
        <v>68</v>
      </c>
      <c r="F229" s="3">
        <v>0.65900000000000003</v>
      </c>
      <c r="G229" s="3">
        <v>4.7699999999999999E-2</v>
      </c>
      <c r="H229" s="3">
        <v>0.11799999999999999</v>
      </c>
      <c r="I229" s="3">
        <v>0</v>
      </c>
      <c r="J229" s="3" t="s">
        <v>48</v>
      </c>
      <c r="K229" s="2">
        <v>128</v>
      </c>
      <c r="L229" s="2">
        <v>184</v>
      </c>
      <c r="M229">
        <f t="shared" ca="1" si="3"/>
        <v>0.46270291919488693</v>
      </c>
    </row>
    <row r="230" spans="1:13" x14ac:dyDescent="0.4">
      <c r="A230" t="s">
        <v>505</v>
      </c>
      <c r="B230" t="s">
        <v>506</v>
      </c>
      <c r="C230" t="s">
        <v>56</v>
      </c>
      <c r="D230" s="2">
        <v>7</v>
      </c>
      <c r="E230" s="2">
        <v>13</v>
      </c>
      <c r="F230" s="3">
        <v>0.65600000000000003</v>
      </c>
      <c r="G230" s="3">
        <v>5.0999999999999997E-2</v>
      </c>
      <c r="H230" s="3">
        <v>7.2300000000000003E-3</v>
      </c>
      <c r="I230" s="3">
        <v>0.71799999999999997</v>
      </c>
      <c r="J230" s="3" t="s">
        <v>48</v>
      </c>
      <c r="K230" s="2">
        <v>128</v>
      </c>
      <c r="L230" s="2">
        <v>216</v>
      </c>
      <c r="M230">
        <f t="shared" ca="1" si="3"/>
        <v>0.64593026855503344</v>
      </c>
    </row>
    <row r="231" spans="1:13" x14ac:dyDescent="0.4">
      <c r="A231" t="s">
        <v>507</v>
      </c>
      <c r="B231" t="s">
        <v>508</v>
      </c>
      <c r="C231" t="s">
        <v>56</v>
      </c>
      <c r="D231" s="2">
        <v>1</v>
      </c>
      <c r="E231" s="2">
        <v>57</v>
      </c>
      <c r="F231" s="3">
        <v>0.74299999999999999</v>
      </c>
      <c r="G231" s="3">
        <v>0.29599999999999999</v>
      </c>
      <c r="H231" s="3">
        <v>2.5399999999999999E-2</v>
      </c>
      <c r="I231" s="3">
        <v>7.0300000000000001E-2</v>
      </c>
      <c r="J231" s="3" t="s">
        <v>48</v>
      </c>
      <c r="K231" s="2">
        <v>128</v>
      </c>
      <c r="L231" s="2">
        <v>227</v>
      </c>
      <c r="M231">
        <f t="shared" ca="1" si="3"/>
        <v>0.99190834402713335</v>
      </c>
    </row>
    <row r="232" spans="1:13" x14ac:dyDescent="0.4">
      <c r="A232" t="s">
        <v>509</v>
      </c>
      <c r="B232" t="s">
        <v>510</v>
      </c>
      <c r="C232" t="s">
        <v>84</v>
      </c>
      <c r="D232" s="2">
        <v>1</v>
      </c>
      <c r="E232" s="2">
        <v>11</v>
      </c>
      <c r="F232" s="3">
        <v>0.82699999999999996</v>
      </c>
      <c r="G232" s="3">
        <v>8.4500000000000006E-2</v>
      </c>
      <c r="H232" s="3">
        <v>0.16300000000000001</v>
      </c>
      <c r="I232" s="4">
        <v>1.19E-6</v>
      </c>
      <c r="J232" s="3" t="s">
        <v>48</v>
      </c>
      <c r="K232" s="2">
        <v>152</v>
      </c>
      <c r="L232" s="2">
        <v>265</v>
      </c>
      <c r="M232">
        <f t="shared" ca="1" si="3"/>
        <v>0.96329124418467282</v>
      </c>
    </row>
    <row r="233" spans="1:13" x14ac:dyDescent="0.4">
      <c r="A233" t="s">
        <v>511</v>
      </c>
      <c r="B233" t="s">
        <v>408</v>
      </c>
      <c r="C233" t="s">
        <v>56</v>
      </c>
      <c r="D233" s="2">
        <v>2</v>
      </c>
      <c r="E233" s="2">
        <v>56</v>
      </c>
      <c r="F233" s="3">
        <v>0.50700000000000001</v>
      </c>
      <c r="G233" s="3">
        <v>0.14099999999999999</v>
      </c>
      <c r="H233" s="3">
        <v>7.3099999999999997E-3</v>
      </c>
      <c r="I233" s="3">
        <v>0</v>
      </c>
      <c r="J233" s="3" t="s">
        <v>48</v>
      </c>
      <c r="K233" s="2">
        <v>128</v>
      </c>
      <c r="L233" s="2">
        <v>248</v>
      </c>
      <c r="M233">
        <f t="shared" ca="1" si="3"/>
        <v>0.16371556574261936</v>
      </c>
    </row>
    <row r="234" spans="1:13" x14ac:dyDescent="0.4">
      <c r="A234" t="s">
        <v>512</v>
      </c>
      <c r="B234" t="s">
        <v>513</v>
      </c>
      <c r="C234" t="s">
        <v>56</v>
      </c>
      <c r="D234" s="2">
        <v>1</v>
      </c>
      <c r="E234" s="2">
        <v>36</v>
      </c>
      <c r="F234" s="3">
        <v>0.70099999999999996</v>
      </c>
      <c r="G234" s="3">
        <v>0.23799999999999999</v>
      </c>
      <c r="H234" s="3">
        <v>3.7100000000000001E-2</v>
      </c>
      <c r="I234" s="4">
        <v>1.1800000000000001E-5</v>
      </c>
      <c r="J234" s="3" t="s">
        <v>48</v>
      </c>
      <c r="K234" s="2">
        <v>110</v>
      </c>
      <c r="L234" s="2">
        <v>199</v>
      </c>
      <c r="M234">
        <f t="shared" ca="1" si="3"/>
        <v>0.2059282217933186</v>
      </c>
    </row>
    <row r="235" spans="1:13" x14ac:dyDescent="0.4">
      <c r="A235" t="s">
        <v>514</v>
      </c>
      <c r="B235" t="s">
        <v>515</v>
      </c>
      <c r="C235" t="s">
        <v>84</v>
      </c>
      <c r="D235" s="2">
        <v>1</v>
      </c>
      <c r="E235" s="2">
        <v>41</v>
      </c>
      <c r="F235" s="3">
        <v>0.53100000000000003</v>
      </c>
      <c r="G235" s="3">
        <v>0.29699999999999999</v>
      </c>
      <c r="H235" s="3">
        <v>0.627</v>
      </c>
      <c r="I235" s="4">
        <v>1.1199999999999999E-5</v>
      </c>
      <c r="J235" s="3" t="s">
        <v>48</v>
      </c>
      <c r="K235" s="2">
        <v>81</v>
      </c>
      <c r="L235" s="2">
        <v>180</v>
      </c>
      <c r="M235">
        <f t="shared" ca="1" si="3"/>
        <v>0.18465869126958645</v>
      </c>
    </row>
    <row r="236" spans="1:13" x14ac:dyDescent="0.4">
      <c r="A236" t="s">
        <v>516</v>
      </c>
      <c r="B236" t="s">
        <v>517</v>
      </c>
      <c r="C236" t="s">
        <v>84</v>
      </c>
      <c r="D236" s="2">
        <v>22</v>
      </c>
      <c r="E236" s="2">
        <v>23</v>
      </c>
      <c r="F236" s="3">
        <v>0.73299999999999998</v>
      </c>
      <c r="G236" s="3">
        <v>8.1000000000000003E-2</v>
      </c>
      <c r="H236" s="3">
        <v>0.159</v>
      </c>
      <c r="I236" s="4">
        <v>1.24E-6</v>
      </c>
      <c r="J236" s="3" t="s">
        <v>48</v>
      </c>
      <c r="K236" s="2">
        <v>82</v>
      </c>
      <c r="L236" s="2">
        <v>266</v>
      </c>
      <c r="M236">
        <f t="shared" ca="1" si="3"/>
        <v>4.8900820859826166E-2</v>
      </c>
    </row>
    <row r="237" spans="1:13" x14ac:dyDescent="0.4">
      <c r="A237" t="s">
        <v>518</v>
      </c>
      <c r="B237" t="s">
        <v>519</v>
      </c>
      <c r="C237" t="s">
        <v>47</v>
      </c>
      <c r="D237" s="2">
        <v>0</v>
      </c>
      <c r="E237" s="2">
        <v>51</v>
      </c>
      <c r="F237" s="3">
        <v>0.69399999999999995</v>
      </c>
      <c r="G237" s="3">
        <v>5.3400000000000003E-2</v>
      </c>
      <c r="H237" s="3">
        <v>9.01E-2</v>
      </c>
      <c r="I237" s="4">
        <v>1.0900000000000001E-4</v>
      </c>
      <c r="J237" s="3" t="s">
        <v>67</v>
      </c>
      <c r="K237" s="2">
        <v>120</v>
      </c>
      <c r="L237" s="2">
        <v>165</v>
      </c>
      <c r="M237">
        <f t="shared" ca="1" si="3"/>
        <v>0.98267170468940046</v>
      </c>
    </row>
    <row r="238" spans="1:13" x14ac:dyDescent="0.4">
      <c r="A238" t="s">
        <v>520</v>
      </c>
      <c r="B238" t="s">
        <v>521</v>
      </c>
      <c r="C238" t="s">
        <v>84</v>
      </c>
      <c r="D238" s="2">
        <v>22</v>
      </c>
      <c r="E238" s="2">
        <v>4</v>
      </c>
      <c r="F238" s="3">
        <v>0.82599999999999996</v>
      </c>
      <c r="G238" s="3">
        <v>0.25800000000000001</v>
      </c>
      <c r="H238" s="3">
        <v>5.64E-3</v>
      </c>
      <c r="I238" s="3">
        <v>0</v>
      </c>
      <c r="J238" s="3" t="s">
        <v>48</v>
      </c>
      <c r="K238" s="2">
        <v>168</v>
      </c>
      <c r="L238" s="2">
        <v>289</v>
      </c>
      <c r="M238">
        <f t="shared" ca="1" si="3"/>
        <v>0.66534508116631619</v>
      </c>
    </row>
    <row r="239" spans="1:13" x14ac:dyDescent="0.4">
      <c r="A239" t="s">
        <v>522</v>
      </c>
      <c r="B239" t="s">
        <v>523</v>
      </c>
      <c r="C239" t="s">
        <v>47</v>
      </c>
      <c r="D239" s="2">
        <v>6</v>
      </c>
      <c r="E239" s="2">
        <v>30</v>
      </c>
      <c r="F239" s="3">
        <v>0.63200000000000001</v>
      </c>
      <c r="G239" s="3">
        <v>5.9299999999999999E-2</v>
      </c>
      <c r="H239" s="3">
        <v>8.09E-2</v>
      </c>
      <c r="I239" s="3">
        <v>0</v>
      </c>
      <c r="J239" s="3" t="s">
        <v>48</v>
      </c>
      <c r="K239" s="2">
        <v>134</v>
      </c>
      <c r="L239" s="2">
        <v>236</v>
      </c>
      <c r="M239">
        <f t="shared" ca="1" si="3"/>
        <v>0.27570903796312429</v>
      </c>
    </row>
    <row r="240" spans="1:13" x14ac:dyDescent="0.4">
      <c r="A240" t="s">
        <v>524</v>
      </c>
      <c r="B240" t="s">
        <v>496</v>
      </c>
      <c r="C240" t="s">
        <v>84</v>
      </c>
      <c r="D240" s="2">
        <v>9</v>
      </c>
      <c r="E240" s="2">
        <v>57</v>
      </c>
      <c r="F240" s="3">
        <v>0.57399999999999995</v>
      </c>
      <c r="G240" s="3">
        <v>5.2400000000000002E-2</v>
      </c>
      <c r="H240" s="3">
        <v>2.0699999999999998E-3</v>
      </c>
      <c r="I240" s="4">
        <v>1.1199999999999999E-5</v>
      </c>
      <c r="J240" s="3" t="s">
        <v>48</v>
      </c>
      <c r="K240" s="2">
        <v>116</v>
      </c>
      <c r="L240" s="2">
        <v>189</v>
      </c>
      <c r="M240">
        <f t="shared" ca="1" si="3"/>
        <v>0.53141469915821993</v>
      </c>
    </row>
    <row r="241" spans="1:13" x14ac:dyDescent="0.4">
      <c r="A241" t="s">
        <v>525</v>
      </c>
      <c r="B241" t="s">
        <v>526</v>
      </c>
      <c r="C241" t="s">
        <v>53</v>
      </c>
      <c r="D241" s="2">
        <v>6</v>
      </c>
      <c r="E241" s="2">
        <v>32</v>
      </c>
      <c r="F241" s="3">
        <v>0.32500000000000001</v>
      </c>
      <c r="G241" s="3">
        <v>4.3799999999999999E-2</v>
      </c>
      <c r="H241" s="3">
        <v>0.17</v>
      </c>
      <c r="I241" s="3">
        <v>0.44400000000000001</v>
      </c>
      <c r="J241" s="3" t="s">
        <v>48</v>
      </c>
      <c r="K241" s="2">
        <v>170</v>
      </c>
      <c r="L241" s="2">
        <v>299</v>
      </c>
      <c r="M241">
        <f t="shared" ca="1" si="3"/>
        <v>0.10243971569655541</v>
      </c>
    </row>
    <row r="242" spans="1:13" x14ac:dyDescent="0.4">
      <c r="A242" t="s">
        <v>527</v>
      </c>
      <c r="B242" t="s">
        <v>528</v>
      </c>
      <c r="C242" t="s">
        <v>66</v>
      </c>
      <c r="D242" s="2">
        <v>24</v>
      </c>
      <c r="E242" s="2">
        <v>40</v>
      </c>
      <c r="F242" s="3">
        <v>0.8</v>
      </c>
      <c r="G242" s="3">
        <v>4.4999999999999998E-2</v>
      </c>
      <c r="H242" s="3">
        <v>5.2400000000000002E-2</v>
      </c>
      <c r="I242" s="3">
        <v>0</v>
      </c>
      <c r="J242" s="3" t="s">
        <v>48</v>
      </c>
      <c r="K242" s="2">
        <v>94</v>
      </c>
      <c r="L242" s="2">
        <v>298</v>
      </c>
      <c r="M242">
        <f t="shared" ca="1" si="3"/>
        <v>0.94117514806050939</v>
      </c>
    </row>
    <row r="243" spans="1:13" x14ac:dyDescent="0.4">
      <c r="A243" t="s">
        <v>529</v>
      </c>
      <c r="B243" t="s">
        <v>530</v>
      </c>
      <c r="C243" t="s">
        <v>53</v>
      </c>
      <c r="D243" s="2">
        <v>2</v>
      </c>
      <c r="E243" s="2">
        <v>48</v>
      </c>
      <c r="F243" s="3">
        <v>0.84699999999999998</v>
      </c>
      <c r="G243" s="3">
        <v>0.27200000000000002</v>
      </c>
      <c r="H243" s="3">
        <v>8.9300000000000004E-2</v>
      </c>
      <c r="I243" s="3">
        <v>0</v>
      </c>
      <c r="J243" s="3" t="s">
        <v>48</v>
      </c>
      <c r="K243" s="2">
        <v>102</v>
      </c>
      <c r="L243" s="2">
        <v>172</v>
      </c>
      <c r="M243">
        <f t="shared" ca="1" si="3"/>
        <v>0.18116554754181224</v>
      </c>
    </row>
    <row r="244" spans="1:13" x14ac:dyDescent="0.4">
      <c r="A244" t="s">
        <v>531</v>
      </c>
      <c r="B244" t="s">
        <v>490</v>
      </c>
      <c r="C244" t="s">
        <v>61</v>
      </c>
      <c r="D244" s="2">
        <v>33</v>
      </c>
      <c r="E244" s="2">
        <v>4</v>
      </c>
      <c r="F244" s="3">
        <v>0.41099999999999998</v>
      </c>
      <c r="G244" s="3">
        <v>4.1700000000000001E-2</v>
      </c>
      <c r="H244" s="3">
        <v>0.21</v>
      </c>
      <c r="I244" s="4">
        <v>1.5699999999999999E-5</v>
      </c>
      <c r="J244" s="3" t="s">
        <v>48</v>
      </c>
      <c r="K244" s="2">
        <v>91</v>
      </c>
      <c r="L244" s="2">
        <v>270</v>
      </c>
      <c r="M244">
        <f t="shared" ca="1" si="3"/>
        <v>0.24866421591154109</v>
      </c>
    </row>
    <row r="245" spans="1:13" x14ac:dyDescent="0.4">
      <c r="A245" t="s">
        <v>532</v>
      </c>
      <c r="B245" t="s">
        <v>533</v>
      </c>
      <c r="C245" t="s">
        <v>47</v>
      </c>
      <c r="D245" s="2">
        <v>1</v>
      </c>
      <c r="E245" s="2">
        <v>13</v>
      </c>
      <c r="F245" s="3">
        <v>0.61</v>
      </c>
      <c r="G245" s="3">
        <v>0.15</v>
      </c>
      <c r="H245" s="3">
        <v>0.36699999999999999</v>
      </c>
      <c r="I245" s="3">
        <v>0</v>
      </c>
      <c r="J245" s="3" t="s">
        <v>48</v>
      </c>
      <c r="K245" s="2">
        <v>146</v>
      </c>
      <c r="L245" s="2">
        <v>202</v>
      </c>
      <c r="M245">
        <f t="shared" ca="1" si="3"/>
        <v>0.46275151198063003</v>
      </c>
    </row>
    <row r="246" spans="1:13" x14ac:dyDescent="0.4">
      <c r="A246" t="s">
        <v>534</v>
      </c>
      <c r="B246" t="s">
        <v>535</v>
      </c>
      <c r="C246" t="s">
        <v>61</v>
      </c>
      <c r="D246" s="2">
        <v>7</v>
      </c>
      <c r="E246" s="2">
        <v>49</v>
      </c>
      <c r="F246" s="3">
        <v>0.39700000000000002</v>
      </c>
      <c r="G246" s="3">
        <v>5.1400000000000001E-2</v>
      </c>
      <c r="H246" s="4">
        <v>4.7299999999999996E-6</v>
      </c>
      <c r="I246" s="3">
        <v>0.59099999999999997</v>
      </c>
      <c r="J246" s="3" t="s">
        <v>48</v>
      </c>
      <c r="K246" s="2">
        <v>108</v>
      </c>
      <c r="L246" s="2">
        <v>215</v>
      </c>
      <c r="M246">
        <f t="shared" ca="1" si="3"/>
        <v>0.28904573618640783</v>
      </c>
    </row>
    <row r="247" spans="1:13" x14ac:dyDescent="0.4">
      <c r="A247" t="s">
        <v>536</v>
      </c>
      <c r="B247" t="s">
        <v>537</v>
      </c>
      <c r="C247" t="s">
        <v>47</v>
      </c>
      <c r="D247" s="2">
        <v>35</v>
      </c>
      <c r="E247" s="2">
        <v>66</v>
      </c>
      <c r="F247" s="3">
        <v>0.80300000000000005</v>
      </c>
      <c r="G247" s="3">
        <v>8.0299999999999996E-2</v>
      </c>
      <c r="H247" s="3">
        <v>0.57599999999999996</v>
      </c>
      <c r="I247" s="3">
        <v>6.0900000000000003E-2</v>
      </c>
      <c r="J247" s="3" t="s">
        <v>67</v>
      </c>
      <c r="K247" s="2">
        <v>96</v>
      </c>
      <c r="L247" s="2">
        <v>237</v>
      </c>
      <c r="M247">
        <f t="shared" ca="1" si="3"/>
        <v>0.79295615128039554</v>
      </c>
    </row>
    <row r="248" spans="1:13" x14ac:dyDescent="0.4">
      <c r="A248" t="s">
        <v>538</v>
      </c>
      <c r="B248" t="s">
        <v>539</v>
      </c>
      <c r="C248" t="s">
        <v>47</v>
      </c>
      <c r="D248" s="2">
        <v>2</v>
      </c>
      <c r="E248" s="2">
        <v>58</v>
      </c>
      <c r="F248" s="3">
        <v>0.74099999999999999</v>
      </c>
      <c r="G248" s="3">
        <v>4.4699999999999997E-2</v>
      </c>
      <c r="H248" s="3">
        <v>3.0499999999999999E-2</v>
      </c>
      <c r="I248" s="3">
        <v>0</v>
      </c>
      <c r="J248" s="3" t="s">
        <v>48</v>
      </c>
      <c r="K248" s="2">
        <v>110</v>
      </c>
      <c r="L248" s="2">
        <v>155</v>
      </c>
      <c r="M248">
        <f t="shared" ca="1" si="3"/>
        <v>0.25566530585179981</v>
      </c>
    </row>
    <row r="249" spans="1:13" x14ac:dyDescent="0.4">
      <c r="A249" t="s">
        <v>540</v>
      </c>
      <c r="B249" t="s">
        <v>541</v>
      </c>
      <c r="C249" t="s">
        <v>84</v>
      </c>
      <c r="D249" s="2">
        <v>2</v>
      </c>
      <c r="E249" s="2">
        <v>44</v>
      </c>
      <c r="F249" s="3">
        <v>0.85399999999999998</v>
      </c>
      <c r="G249" s="3">
        <v>0.32200000000000001</v>
      </c>
      <c r="H249" s="3">
        <v>0.11600000000000001</v>
      </c>
      <c r="I249" s="3">
        <v>0</v>
      </c>
      <c r="J249" s="3" t="s">
        <v>48</v>
      </c>
      <c r="K249" s="2">
        <v>100</v>
      </c>
      <c r="L249" s="2">
        <v>212</v>
      </c>
      <c r="M249">
        <f t="shared" ca="1" si="3"/>
        <v>0.39558727517423153</v>
      </c>
    </row>
    <row r="250" spans="1:13" x14ac:dyDescent="0.4">
      <c r="A250" t="s">
        <v>542</v>
      </c>
      <c r="B250" t="s">
        <v>543</v>
      </c>
      <c r="C250" t="s">
        <v>47</v>
      </c>
      <c r="D250" s="2">
        <v>3</v>
      </c>
      <c r="E250" s="2">
        <v>83</v>
      </c>
      <c r="F250" s="3">
        <v>0.44400000000000001</v>
      </c>
      <c r="G250" s="3">
        <v>0.34100000000000003</v>
      </c>
      <c r="H250" s="3">
        <v>0.106</v>
      </c>
      <c r="I250" s="3">
        <v>0</v>
      </c>
      <c r="J250" s="3" t="s">
        <v>48</v>
      </c>
      <c r="K250" s="2">
        <v>83</v>
      </c>
      <c r="L250" s="2">
        <v>188</v>
      </c>
      <c r="M250">
        <f t="shared" ca="1" si="3"/>
        <v>0.17323482667929591</v>
      </c>
    </row>
    <row r="251" spans="1:13" x14ac:dyDescent="0.4">
      <c r="A251" t="s">
        <v>544</v>
      </c>
      <c r="B251" t="s">
        <v>545</v>
      </c>
      <c r="C251" t="s">
        <v>61</v>
      </c>
      <c r="D251" s="2">
        <v>47</v>
      </c>
      <c r="E251" s="2">
        <v>65</v>
      </c>
      <c r="F251" s="3">
        <v>0.40600000000000003</v>
      </c>
      <c r="G251" s="3">
        <v>3.4799999999999998E-2</v>
      </c>
      <c r="H251" s="3">
        <v>0.27600000000000002</v>
      </c>
      <c r="I251" s="3">
        <v>3.5400000000000002E-3</v>
      </c>
      <c r="J251" s="3" t="s">
        <v>48</v>
      </c>
      <c r="K251" s="2">
        <v>164</v>
      </c>
      <c r="L251" s="2">
        <v>365</v>
      </c>
      <c r="M251">
        <f t="shared" ca="1" si="3"/>
        <v>0.3164353143737284</v>
      </c>
    </row>
    <row r="252" spans="1:13" x14ac:dyDescent="0.4">
      <c r="A252" t="s">
        <v>546</v>
      </c>
      <c r="B252" t="s">
        <v>547</v>
      </c>
      <c r="C252" t="s">
        <v>84</v>
      </c>
      <c r="D252" s="2">
        <v>2</v>
      </c>
      <c r="E252" s="2">
        <v>55</v>
      </c>
      <c r="F252" s="3">
        <v>0.70599999999999996</v>
      </c>
      <c r="G252" s="3">
        <v>0.23799999999999999</v>
      </c>
      <c r="H252" s="3">
        <v>0.316</v>
      </c>
      <c r="I252" s="3">
        <v>0</v>
      </c>
      <c r="J252" s="3" t="s">
        <v>48</v>
      </c>
      <c r="K252" s="2">
        <v>158</v>
      </c>
      <c r="L252" s="2">
        <v>160</v>
      </c>
      <c r="M252">
        <f t="shared" ca="1" si="3"/>
        <v>0.81806314999845042</v>
      </c>
    </row>
    <row r="253" spans="1:13" x14ac:dyDescent="0.4">
      <c r="A253" t="s">
        <v>548</v>
      </c>
      <c r="B253" t="s">
        <v>184</v>
      </c>
      <c r="C253" t="s">
        <v>53</v>
      </c>
      <c r="D253" s="2">
        <v>4</v>
      </c>
      <c r="E253" s="2">
        <v>17</v>
      </c>
      <c r="F253" s="3">
        <v>0.68500000000000005</v>
      </c>
      <c r="G253" s="3">
        <v>0.10199999999999999</v>
      </c>
      <c r="H253" s="3">
        <v>8.6900000000000005E-2</v>
      </c>
      <c r="I253" s="4">
        <v>5.5399999999999998E-5</v>
      </c>
      <c r="J253" s="3" t="s">
        <v>48</v>
      </c>
      <c r="K253" s="2">
        <v>100</v>
      </c>
      <c r="L253" s="2">
        <v>218</v>
      </c>
      <c r="M253">
        <f t="shared" ca="1" si="3"/>
        <v>7.4342732743142181E-2</v>
      </c>
    </row>
    <row r="254" spans="1:13" x14ac:dyDescent="0.4">
      <c r="A254" t="s">
        <v>549</v>
      </c>
      <c r="B254" t="s">
        <v>550</v>
      </c>
      <c r="C254" t="s">
        <v>47</v>
      </c>
      <c r="D254" s="2">
        <v>1</v>
      </c>
      <c r="E254" s="2">
        <v>48</v>
      </c>
      <c r="F254" s="3">
        <v>0.67900000000000005</v>
      </c>
      <c r="G254" s="3">
        <v>5.9799999999999999E-2</v>
      </c>
      <c r="H254" s="3">
        <v>1.6400000000000001E-2</v>
      </c>
      <c r="I254" s="3">
        <v>0</v>
      </c>
      <c r="J254" s="3" t="s">
        <v>67</v>
      </c>
      <c r="K254" s="2">
        <v>92</v>
      </c>
      <c r="L254" s="2">
        <v>164</v>
      </c>
      <c r="M254">
        <f t="shared" ca="1" si="3"/>
        <v>0.98398295986858886</v>
      </c>
    </row>
    <row r="255" spans="1:13" x14ac:dyDescent="0.4">
      <c r="A255" t="s">
        <v>551</v>
      </c>
      <c r="B255" t="s">
        <v>552</v>
      </c>
      <c r="C255" t="s">
        <v>53</v>
      </c>
      <c r="D255" s="2">
        <v>1</v>
      </c>
      <c r="E255" s="2">
        <v>53</v>
      </c>
      <c r="F255" s="3">
        <v>0.82099999999999995</v>
      </c>
      <c r="G255" s="3">
        <v>6.0400000000000002E-2</v>
      </c>
      <c r="H255" s="3">
        <v>0.41499999999999998</v>
      </c>
      <c r="I255" s="4">
        <v>7.7800000000000001E-6</v>
      </c>
      <c r="J255" s="3" t="s">
        <v>48</v>
      </c>
      <c r="K255" s="2">
        <v>102</v>
      </c>
      <c r="L255" s="2">
        <v>161</v>
      </c>
      <c r="M255">
        <f t="shared" ca="1" si="3"/>
        <v>0.66677973811407254</v>
      </c>
    </row>
    <row r="256" spans="1:13" x14ac:dyDescent="0.4">
      <c r="A256" t="s">
        <v>553</v>
      </c>
      <c r="B256" t="s">
        <v>554</v>
      </c>
      <c r="C256" t="s">
        <v>53</v>
      </c>
      <c r="D256" s="2">
        <v>1</v>
      </c>
      <c r="E256" s="2">
        <v>51</v>
      </c>
      <c r="F256" s="3">
        <v>0.73299999999999998</v>
      </c>
      <c r="G256" s="3">
        <v>4.5499999999999999E-2</v>
      </c>
      <c r="H256" s="3">
        <v>9.6399999999999993E-3</v>
      </c>
      <c r="I256" s="4">
        <v>1.2999999999999999E-4</v>
      </c>
      <c r="J256" s="3" t="s">
        <v>48</v>
      </c>
      <c r="K256" s="2">
        <v>124</v>
      </c>
      <c r="L256" s="2">
        <v>180</v>
      </c>
      <c r="M256">
        <f t="shared" ca="1" si="3"/>
        <v>0.16210581879807695</v>
      </c>
    </row>
    <row r="257" spans="1:13" x14ac:dyDescent="0.4">
      <c r="A257" t="s">
        <v>555</v>
      </c>
      <c r="B257" t="s">
        <v>556</v>
      </c>
      <c r="C257" t="s">
        <v>56</v>
      </c>
      <c r="D257" s="2">
        <v>7</v>
      </c>
      <c r="E257" s="2">
        <v>43</v>
      </c>
      <c r="F257" s="3">
        <v>0.67700000000000005</v>
      </c>
      <c r="G257" s="3">
        <v>4.5600000000000002E-2</v>
      </c>
      <c r="H257" s="3">
        <v>2.98E-3</v>
      </c>
      <c r="I257" s="3">
        <v>0.50700000000000001</v>
      </c>
      <c r="J257" s="3" t="s">
        <v>48</v>
      </c>
      <c r="K257" s="2">
        <v>128</v>
      </c>
      <c r="L257" s="2">
        <v>289</v>
      </c>
      <c r="M257">
        <f t="shared" ca="1" si="3"/>
        <v>0.5185882751475015</v>
      </c>
    </row>
    <row r="258" spans="1:13" x14ac:dyDescent="0.4">
      <c r="A258" t="s">
        <v>557</v>
      </c>
      <c r="B258" t="s">
        <v>558</v>
      </c>
      <c r="C258" t="s">
        <v>56</v>
      </c>
      <c r="D258" s="2">
        <v>7</v>
      </c>
      <c r="E258" s="2">
        <v>25</v>
      </c>
      <c r="F258" s="3">
        <v>0.26400000000000001</v>
      </c>
      <c r="G258" s="3">
        <v>5.2600000000000001E-2</v>
      </c>
      <c r="H258" s="4">
        <v>8.7299999999999997E-4</v>
      </c>
      <c r="I258" s="3">
        <v>0.38400000000000001</v>
      </c>
      <c r="J258" s="3" t="s">
        <v>48</v>
      </c>
      <c r="K258" s="2">
        <v>128</v>
      </c>
      <c r="L258" s="2">
        <v>278</v>
      </c>
      <c r="M258">
        <f t="shared" ref="M258:M321" ca="1" si="4">RAND()</f>
        <v>0.58719478557721172</v>
      </c>
    </row>
    <row r="259" spans="1:13" x14ac:dyDescent="0.4">
      <c r="A259" t="s">
        <v>559</v>
      </c>
      <c r="B259" t="s">
        <v>560</v>
      </c>
      <c r="C259" t="s">
        <v>56</v>
      </c>
      <c r="D259" s="2">
        <v>1</v>
      </c>
      <c r="E259" s="2">
        <v>49</v>
      </c>
      <c r="F259" s="3">
        <v>0.54800000000000004</v>
      </c>
      <c r="G259" s="3">
        <v>3.49E-2</v>
      </c>
      <c r="H259" s="3">
        <v>0.45100000000000001</v>
      </c>
      <c r="I259" s="3">
        <v>0</v>
      </c>
      <c r="J259" s="3" t="s">
        <v>48</v>
      </c>
      <c r="K259" s="2">
        <v>150</v>
      </c>
      <c r="L259" s="2">
        <v>204</v>
      </c>
      <c r="M259">
        <f t="shared" ca="1" si="4"/>
        <v>0.39870595630111005</v>
      </c>
    </row>
    <row r="260" spans="1:13" x14ac:dyDescent="0.4">
      <c r="A260" t="s">
        <v>561</v>
      </c>
      <c r="B260" t="s">
        <v>562</v>
      </c>
      <c r="C260" t="s">
        <v>66</v>
      </c>
      <c r="D260" s="2">
        <v>7</v>
      </c>
      <c r="E260" s="2">
        <v>28</v>
      </c>
      <c r="F260" s="3">
        <v>0.48499999999999999</v>
      </c>
      <c r="G260" s="3">
        <v>4.36E-2</v>
      </c>
      <c r="H260" s="3">
        <v>0.17499999999999999</v>
      </c>
      <c r="I260" s="3">
        <v>0</v>
      </c>
      <c r="J260" s="3" t="s">
        <v>67</v>
      </c>
      <c r="K260" s="2">
        <v>62</v>
      </c>
      <c r="L260" s="2">
        <v>299</v>
      </c>
      <c r="M260">
        <f t="shared" ca="1" si="4"/>
        <v>0.64578132072883887</v>
      </c>
    </row>
    <row r="261" spans="1:13" x14ac:dyDescent="0.4">
      <c r="A261" t="s">
        <v>563</v>
      </c>
      <c r="B261" t="s">
        <v>564</v>
      </c>
      <c r="C261" t="s">
        <v>61</v>
      </c>
      <c r="D261" s="2">
        <v>28</v>
      </c>
      <c r="E261" s="2">
        <v>48</v>
      </c>
      <c r="F261" s="3">
        <v>0.68700000000000006</v>
      </c>
      <c r="G261" s="3">
        <v>5.0700000000000002E-2</v>
      </c>
      <c r="H261" s="3">
        <v>0.223</v>
      </c>
      <c r="I261" s="4">
        <v>1.13E-4</v>
      </c>
      <c r="J261" s="3" t="s">
        <v>67</v>
      </c>
      <c r="K261" s="2">
        <v>82</v>
      </c>
      <c r="L261" s="2">
        <v>225</v>
      </c>
      <c r="M261">
        <f t="shared" ca="1" si="4"/>
        <v>0.18302843056702067</v>
      </c>
    </row>
    <row r="262" spans="1:13" x14ac:dyDescent="0.4">
      <c r="A262" t="s">
        <v>565</v>
      </c>
      <c r="B262" t="s">
        <v>566</v>
      </c>
      <c r="C262" t="s">
        <v>56</v>
      </c>
      <c r="D262" s="2">
        <v>8</v>
      </c>
      <c r="E262" s="2">
        <v>60</v>
      </c>
      <c r="F262" s="3">
        <v>0.56399999999999995</v>
      </c>
      <c r="G262" s="3">
        <v>4.6100000000000002E-2</v>
      </c>
      <c r="H262" s="3">
        <v>1.25E-3</v>
      </c>
      <c r="I262" s="3">
        <v>0</v>
      </c>
      <c r="J262" s="3" t="s">
        <v>48</v>
      </c>
      <c r="K262" s="2">
        <v>92</v>
      </c>
      <c r="L262" s="2">
        <v>225</v>
      </c>
      <c r="M262">
        <f t="shared" ca="1" si="4"/>
        <v>0.88448081367377174</v>
      </c>
    </row>
    <row r="263" spans="1:13" x14ac:dyDescent="0.4">
      <c r="A263" t="s">
        <v>567</v>
      </c>
      <c r="B263" t="s">
        <v>568</v>
      </c>
      <c r="C263" t="s">
        <v>66</v>
      </c>
      <c r="D263" s="2">
        <v>1</v>
      </c>
      <c r="E263" s="2">
        <v>45</v>
      </c>
      <c r="F263" s="3">
        <v>0.68500000000000005</v>
      </c>
      <c r="G263" s="3">
        <v>4.1799999999999997E-2</v>
      </c>
      <c r="H263" s="3">
        <v>0.59199999999999997</v>
      </c>
      <c r="I263" s="4">
        <v>7.6000000000000004E-4</v>
      </c>
      <c r="J263" s="3" t="s">
        <v>48</v>
      </c>
      <c r="K263" s="2">
        <v>95</v>
      </c>
      <c r="L263" s="2">
        <v>227</v>
      </c>
      <c r="M263">
        <f t="shared" ca="1" si="4"/>
        <v>0.83872172688446167</v>
      </c>
    </row>
    <row r="264" spans="1:13" x14ac:dyDescent="0.4">
      <c r="A264" t="s">
        <v>569</v>
      </c>
      <c r="B264" t="s">
        <v>570</v>
      </c>
      <c r="C264" t="s">
        <v>47</v>
      </c>
      <c r="D264" s="2">
        <v>12</v>
      </c>
      <c r="E264" s="2">
        <v>35</v>
      </c>
      <c r="F264" s="3">
        <v>0.48299999999999998</v>
      </c>
      <c r="G264" s="3">
        <v>3.4099999999999998E-2</v>
      </c>
      <c r="H264" s="3">
        <v>0.157</v>
      </c>
      <c r="I264" s="3">
        <v>0</v>
      </c>
      <c r="J264" s="3" t="s">
        <v>48</v>
      </c>
      <c r="K264" s="2">
        <v>143</v>
      </c>
      <c r="L264" s="2">
        <v>226</v>
      </c>
      <c r="M264">
        <f t="shared" ca="1" si="4"/>
        <v>0.30979410891967596</v>
      </c>
    </row>
    <row r="265" spans="1:13" x14ac:dyDescent="0.4">
      <c r="A265" t="s">
        <v>571</v>
      </c>
      <c r="B265" t="s">
        <v>572</v>
      </c>
      <c r="C265" t="s">
        <v>56</v>
      </c>
      <c r="D265" s="2">
        <v>2</v>
      </c>
      <c r="E265" s="2">
        <v>63</v>
      </c>
      <c r="F265" s="3">
        <v>0.63900000000000001</v>
      </c>
      <c r="G265" s="3">
        <v>3.5700000000000003E-2</v>
      </c>
      <c r="H265" s="3">
        <v>0.32900000000000001</v>
      </c>
      <c r="I265" s="4">
        <v>1.53E-6</v>
      </c>
      <c r="J265" s="3" t="s">
        <v>48</v>
      </c>
      <c r="K265" s="2">
        <v>116</v>
      </c>
      <c r="L265" s="2">
        <v>194</v>
      </c>
      <c r="M265">
        <f t="shared" ca="1" si="4"/>
        <v>0.55437534793137588</v>
      </c>
    </row>
    <row r="266" spans="1:13" x14ac:dyDescent="0.4">
      <c r="A266" t="s">
        <v>573</v>
      </c>
      <c r="B266" t="s">
        <v>442</v>
      </c>
      <c r="C266" t="s">
        <v>61</v>
      </c>
      <c r="D266" s="2">
        <v>42</v>
      </c>
      <c r="E266" s="2">
        <v>40</v>
      </c>
      <c r="F266" s="3">
        <v>0.42699999999999999</v>
      </c>
      <c r="G266" s="3">
        <v>6.8099999999999994E-2</v>
      </c>
      <c r="H266" s="3">
        <v>2.0999999999999999E-3</v>
      </c>
      <c r="I266" s="3">
        <v>6.0699999999999999E-3</v>
      </c>
      <c r="J266" s="3" t="s">
        <v>48</v>
      </c>
      <c r="K266" s="2">
        <v>140</v>
      </c>
      <c r="L266" s="2">
        <v>255</v>
      </c>
      <c r="M266">
        <f t="shared" ca="1" si="4"/>
        <v>0.44232741364692141</v>
      </c>
    </row>
    <row r="267" spans="1:13" x14ac:dyDescent="0.4">
      <c r="A267" t="s">
        <v>574</v>
      </c>
      <c r="B267" t="s">
        <v>575</v>
      </c>
      <c r="C267" t="s">
        <v>56</v>
      </c>
      <c r="D267" s="2">
        <v>1</v>
      </c>
      <c r="E267" s="2">
        <v>41</v>
      </c>
      <c r="F267" s="3">
        <v>0.80300000000000005</v>
      </c>
      <c r="G267" s="3">
        <v>0.191</v>
      </c>
      <c r="H267" s="3">
        <v>4.9099999999999998E-2</v>
      </c>
      <c r="I267" s="3">
        <v>0</v>
      </c>
      <c r="J267" s="3" t="s">
        <v>48</v>
      </c>
      <c r="K267" s="2">
        <v>122</v>
      </c>
      <c r="L267" s="2">
        <v>163</v>
      </c>
      <c r="M267">
        <f t="shared" ca="1" si="4"/>
        <v>0.46815114475607444</v>
      </c>
    </row>
    <row r="268" spans="1:13" x14ac:dyDescent="0.4">
      <c r="A268" t="s">
        <v>576</v>
      </c>
      <c r="B268" t="s">
        <v>577</v>
      </c>
      <c r="C268" t="s">
        <v>53</v>
      </c>
      <c r="D268" s="2">
        <v>5</v>
      </c>
      <c r="E268" s="2">
        <v>52</v>
      </c>
      <c r="F268" s="3">
        <v>0.65100000000000002</v>
      </c>
      <c r="G268" s="3">
        <v>3.5299999999999998E-2</v>
      </c>
      <c r="H268" s="3">
        <v>0.498</v>
      </c>
      <c r="I268" s="3">
        <v>0</v>
      </c>
      <c r="J268" s="3" t="s">
        <v>67</v>
      </c>
      <c r="K268" s="2">
        <v>139</v>
      </c>
      <c r="L268" s="2">
        <v>202</v>
      </c>
      <c r="M268">
        <f t="shared" ca="1" si="4"/>
        <v>0.59805510672229256</v>
      </c>
    </row>
    <row r="269" spans="1:13" x14ac:dyDescent="0.4">
      <c r="A269" t="s">
        <v>578</v>
      </c>
      <c r="B269" t="s">
        <v>579</v>
      </c>
      <c r="C269" t="s">
        <v>61</v>
      </c>
      <c r="D269" s="2">
        <v>28</v>
      </c>
      <c r="E269" s="2">
        <v>57</v>
      </c>
      <c r="F269" s="3">
        <v>0.76600000000000001</v>
      </c>
      <c r="G269" s="3">
        <v>2.8799999999999999E-2</v>
      </c>
      <c r="H269" s="3">
        <v>0.19400000000000001</v>
      </c>
      <c r="I269" s="4">
        <v>2.4700000000000001E-5</v>
      </c>
      <c r="J269" s="3" t="s">
        <v>48</v>
      </c>
      <c r="K269" s="2">
        <v>118</v>
      </c>
      <c r="L269" s="2">
        <v>262</v>
      </c>
      <c r="M269">
        <f t="shared" ca="1" si="4"/>
        <v>0.58402895574760483</v>
      </c>
    </row>
    <row r="270" spans="1:13" x14ac:dyDescent="0.4">
      <c r="A270" t="s">
        <v>580</v>
      </c>
      <c r="B270" t="s">
        <v>478</v>
      </c>
      <c r="C270" t="s">
        <v>61</v>
      </c>
      <c r="D270" s="2">
        <v>5</v>
      </c>
      <c r="E270" s="2">
        <v>54</v>
      </c>
      <c r="F270" s="3">
        <v>0.41399999999999998</v>
      </c>
      <c r="G270" s="3">
        <v>7.9899999999999999E-2</v>
      </c>
      <c r="H270" s="4">
        <v>3.0000000000000001E-5</v>
      </c>
      <c r="I270" s="3">
        <v>0</v>
      </c>
      <c r="J270" s="3" t="s">
        <v>48</v>
      </c>
      <c r="K270" s="2">
        <v>140</v>
      </c>
      <c r="L270" s="2">
        <v>191</v>
      </c>
      <c r="M270">
        <f t="shared" ca="1" si="4"/>
        <v>0.59551449397385015</v>
      </c>
    </row>
    <row r="271" spans="1:13" x14ac:dyDescent="0.4">
      <c r="A271" t="s">
        <v>581</v>
      </c>
      <c r="B271" t="s">
        <v>582</v>
      </c>
      <c r="C271" t="s">
        <v>53</v>
      </c>
      <c r="D271" s="2">
        <v>1</v>
      </c>
      <c r="E271" s="2">
        <v>28</v>
      </c>
      <c r="F271" s="3">
        <v>0.76800000000000002</v>
      </c>
      <c r="G271" s="3">
        <v>0.112</v>
      </c>
      <c r="H271" s="3">
        <v>3.98E-3</v>
      </c>
      <c r="I271" s="3">
        <v>0</v>
      </c>
      <c r="J271" s="3" t="s">
        <v>48</v>
      </c>
      <c r="K271" s="2">
        <v>131</v>
      </c>
      <c r="L271" s="2">
        <v>195</v>
      </c>
      <c r="M271">
        <f t="shared" ca="1" si="4"/>
        <v>0.31488213673223875</v>
      </c>
    </row>
    <row r="272" spans="1:13" x14ac:dyDescent="0.4">
      <c r="A272" t="s">
        <v>583</v>
      </c>
      <c r="B272" t="s">
        <v>584</v>
      </c>
      <c r="C272" t="s">
        <v>61</v>
      </c>
      <c r="D272" s="2">
        <v>11</v>
      </c>
      <c r="E272" s="2">
        <v>67</v>
      </c>
      <c r="F272" s="3">
        <v>0.40400000000000003</v>
      </c>
      <c r="G272" s="3">
        <v>5.7099999999999998E-2</v>
      </c>
      <c r="H272" s="3">
        <v>6.6100000000000006E-2</v>
      </c>
      <c r="I272" s="4">
        <v>1.9099999999999999E-6</v>
      </c>
      <c r="J272" s="3" t="s">
        <v>48</v>
      </c>
      <c r="K272" s="2">
        <v>160</v>
      </c>
      <c r="L272" s="2">
        <v>327</v>
      </c>
      <c r="M272">
        <f t="shared" ca="1" si="4"/>
        <v>0.17523640927695927</v>
      </c>
    </row>
    <row r="273" spans="1:13" x14ac:dyDescent="0.4">
      <c r="A273" t="s">
        <v>585</v>
      </c>
      <c r="B273" t="s">
        <v>586</v>
      </c>
      <c r="C273" t="s">
        <v>66</v>
      </c>
      <c r="D273" s="2">
        <v>19</v>
      </c>
      <c r="E273" s="2">
        <v>70</v>
      </c>
      <c r="F273" s="3">
        <v>0.79700000000000004</v>
      </c>
      <c r="G273" s="3">
        <v>0.247</v>
      </c>
      <c r="H273" s="3">
        <v>0.53300000000000003</v>
      </c>
      <c r="I273" s="3">
        <v>0.108</v>
      </c>
      <c r="J273" s="3" t="s">
        <v>48</v>
      </c>
      <c r="K273" s="2">
        <v>178</v>
      </c>
      <c r="L273" s="2">
        <v>211</v>
      </c>
      <c r="M273">
        <f t="shared" ca="1" si="4"/>
        <v>0.93021452514717851</v>
      </c>
    </row>
    <row r="274" spans="1:13" x14ac:dyDescent="0.4">
      <c r="A274" t="s">
        <v>587</v>
      </c>
      <c r="B274" t="s">
        <v>588</v>
      </c>
      <c r="C274" t="s">
        <v>66</v>
      </c>
      <c r="D274" s="2">
        <v>17</v>
      </c>
      <c r="E274" s="2">
        <v>36</v>
      </c>
      <c r="F274" s="3">
        <v>0.79100000000000004</v>
      </c>
      <c r="G274" s="3">
        <v>3.4599999999999999E-2</v>
      </c>
      <c r="H274" s="3">
        <v>8.1699999999999995E-2</v>
      </c>
      <c r="I274" s="3">
        <v>0</v>
      </c>
      <c r="J274" s="3" t="s">
        <v>48</v>
      </c>
      <c r="K274" s="2">
        <v>82</v>
      </c>
      <c r="L274" s="2">
        <v>311</v>
      </c>
      <c r="M274">
        <f t="shared" ca="1" si="4"/>
        <v>0.89838475972646836</v>
      </c>
    </row>
    <row r="275" spans="1:13" x14ac:dyDescent="0.4">
      <c r="A275" t="s">
        <v>589</v>
      </c>
      <c r="B275" t="s">
        <v>590</v>
      </c>
      <c r="C275" t="s">
        <v>61</v>
      </c>
      <c r="D275" s="2">
        <v>10</v>
      </c>
      <c r="E275" s="2">
        <v>62</v>
      </c>
      <c r="F275" s="3">
        <v>0.215</v>
      </c>
      <c r="G275" s="3">
        <v>3.9399999999999998E-2</v>
      </c>
      <c r="H275" s="4">
        <v>6.0699999999999998E-5</v>
      </c>
      <c r="I275" s="4">
        <v>3.4699999999999998E-6</v>
      </c>
      <c r="J275" s="3" t="s">
        <v>48</v>
      </c>
      <c r="K275" s="2">
        <v>184</v>
      </c>
      <c r="L275" s="2">
        <v>315</v>
      </c>
      <c r="M275">
        <f t="shared" ca="1" si="4"/>
        <v>0.74014253281053832</v>
      </c>
    </row>
    <row r="276" spans="1:13" x14ac:dyDescent="0.4">
      <c r="A276" t="s">
        <v>591</v>
      </c>
      <c r="B276" t="s">
        <v>592</v>
      </c>
      <c r="C276" t="s">
        <v>84</v>
      </c>
      <c r="D276" s="2">
        <v>1</v>
      </c>
      <c r="E276" s="2">
        <v>50</v>
      </c>
      <c r="F276" s="3">
        <v>0.69599999999999995</v>
      </c>
      <c r="G276" s="3">
        <v>0.317</v>
      </c>
      <c r="H276" s="3">
        <v>0.22800000000000001</v>
      </c>
      <c r="I276" s="3">
        <v>0</v>
      </c>
      <c r="J276" s="3" t="s">
        <v>67</v>
      </c>
      <c r="K276" s="2">
        <v>85</v>
      </c>
      <c r="L276" s="2">
        <v>150</v>
      </c>
      <c r="M276">
        <f t="shared" ca="1" si="4"/>
        <v>0.86957605942718175</v>
      </c>
    </row>
    <row r="277" spans="1:13" x14ac:dyDescent="0.4">
      <c r="A277" t="s">
        <v>593</v>
      </c>
      <c r="B277" t="s">
        <v>594</v>
      </c>
      <c r="C277" t="s">
        <v>84</v>
      </c>
      <c r="D277" s="2">
        <v>25</v>
      </c>
      <c r="E277" s="2">
        <v>17</v>
      </c>
      <c r="F277" s="3">
        <v>0.70399999999999996</v>
      </c>
      <c r="G277" s="3">
        <v>0.29599999999999999</v>
      </c>
      <c r="H277" s="3">
        <v>0.13200000000000001</v>
      </c>
      <c r="I277" s="3">
        <v>0</v>
      </c>
      <c r="J277" s="3" t="s">
        <v>48</v>
      </c>
      <c r="K277" s="2">
        <v>75</v>
      </c>
      <c r="L277" s="2">
        <v>194</v>
      </c>
      <c r="M277">
        <f t="shared" ca="1" si="4"/>
        <v>0.69161590358857916</v>
      </c>
    </row>
    <row r="278" spans="1:13" x14ac:dyDescent="0.4">
      <c r="A278" t="s">
        <v>595</v>
      </c>
      <c r="B278" t="s">
        <v>596</v>
      </c>
      <c r="C278" t="s">
        <v>84</v>
      </c>
      <c r="D278" s="2">
        <v>1</v>
      </c>
      <c r="E278" s="2">
        <v>59</v>
      </c>
      <c r="F278" s="3">
        <v>0.73599999999999999</v>
      </c>
      <c r="G278" s="3">
        <v>3.9899999999999998E-2</v>
      </c>
      <c r="H278" s="3">
        <v>9.2399999999999996E-2</v>
      </c>
      <c r="I278" s="3">
        <v>0</v>
      </c>
      <c r="J278" s="3" t="s">
        <v>48</v>
      </c>
      <c r="K278" s="2">
        <v>136</v>
      </c>
      <c r="L278" s="2">
        <v>202</v>
      </c>
      <c r="M278">
        <f t="shared" ca="1" si="4"/>
        <v>0.76231550140174043</v>
      </c>
    </row>
    <row r="279" spans="1:13" x14ac:dyDescent="0.4">
      <c r="A279" t="s">
        <v>597</v>
      </c>
      <c r="B279" t="s">
        <v>598</v>
      </c>
      <c r="C279" t="s">
        <v>84</v>
      </c>
      <c r="D279" s="2">
        <v>24</v>
      </c>
      <c r="E279" s="2">
        <v>54</v>
      </c>
      <c r="F279" s="3">
        <v>0.77300000000000002</v>
      </c>
      <c r="G279" s="3">
        <v>0.249</v>
      </c>
      <c r="H279" s="3">
        <v>0.11700000000000001</v>
      </c>
      <c r="I279" s="3">
        <v>0</v>
      </c>
      <c r="J279" s="3" t="s">
        <v>48</v>
      </c>
      <c r="K279" s="2">
        <v>102</v>
      </c>
      <c r="L279" s="2">
        <v>266</v>
      </c>
      <c r="M279">
        <f t="shared" ca="1" si="4"/>
        <v>0.31570992399544795</v>
      </c>
    </row>
    <row r="280" spans="1:13" x14ac:dyDescent="0.4">
      <c r="A280" t="s">
        <v>599</v>
      </c>
      <c r="B280" t="s">
        <v>600</v>
      </c>
      <c r="C280" t="s">
        <v>47</v>
      </c>
      <c r="D280" s="2">
        <v>6</v>
      </c>
      <c r="E280" s="2">
        <v>58</v>
      </c>
      <c r="F280" s="3">
        <v>0.48</v>
      </c>
      <c r="G280" s="3">
        <v>0.23</v>
      </c>
      <c r="H280" s="3">
        <v>6.25E-2</v>
      </c>
      <c r="I280" s="4">
        <v>6.8499999999999995E-4</v>
      </c>
      <c r="J280" s="3" t="s">
        <v>48</v>
      </c>
      <c r="K280" s="2">
        <v>110</v>
      </c>
      <c r="L280" s="2">
        <v>248</v>
      </c>
      <c r="M280">
        <f t="shared" ca="1" si="4"/>
        <v>0.27394861870277498</v>
      </c>
    </row>
    <row r="281" spans="1:13" x14ac:dyDescent="0.4">
      <c r="A281" t="s">
        <v>601</v>
      </c>
      <c r="B281" t="s">
        <v>602</v>
      </c>
      <c r="C281" t="s">
        <v>61</v>
      </c>
      <c r="D281" s="2">
        <v>40</v>
      </c>
      <c r="E281" s="2">
        <v>55</v>
      </c>
      <c r="F281" s="3">
        <v>0.47</v>
      </c>
      <c r="G281" s="3">
        <v>3.39E-2</v>
      </c>
      <c r="H281" s="3">
        <v>7.3200000000000001E-3</v>
      </c>
      <c r="I281" s="3">
        <v>0.30399999999999999</v>
      </c>
      <c r="J281" s="3" t="s">
        <v>48</v>
      </c>
      <c r="K281" s="2">
        <v>162</v>
      </c>
      <c r="L281" s="2">
        <v>219</v>
      </c>
      <c r="M281">
        <f t="shared" ca="1" si="4"/>
        <v>0.53675295790857891</v>
      </c>
    </row>
    <row r="282" spans="1:13" x14ac:dyDescent="0.4">
      <c r="A282" t="s">
        <v>603</v>
      </c>
      <c r="B282" t="s">
        <v>604</v>
      </c>
      <c r="C282" t="s">
        <v>61</v>
      </c>
      <c r="D282" s="2">
        <v>1</v>
      </c>
      <c r="E282" s="2">
        <v>60</v>
      </c>
      <c r="F282" s="3">
        <v>0.38200000000000001</v>
      </c>
      <c r="G282" s="3">
        <v>6.8199999999999997E-2</v>
      </c>
      <c r="H282" s="4">
        <v>1.0499999999999999E-5</v>
      </c>
      <c r="I282" s="3">
        <v>0.29299999999999998</v>
      </c>
      <c r="J282" s="3" t="s">
        <v>48</v>
      </c>
      <c r="K282" s="2">
        <v>146</v>
      </c>
      <c r="L282" s="2">
        <v>209</v>
      </c>
      <c r="M282">
        <f t="shared" ca="1" si="4"/>
        <v>0.22078946569381885</v>
      </c>
    </row>
    <row r="283" spans="1:13" x14ac:dyDescent="0.4">
      <c r="A283" t="s">
        <v>605</v>
      </c>
      <c r="B283" t="s">
        <v>606</v>
      </c>
      <c r="C283" t="s">
        <v>61</v>
      </c>
      <c r="D283" s="2">
        <v>1</v>
      </c>
      <c r="E283" s="2">
        <v>43</v>
      </c>
      <c r="F283" s="3">
        <v>0.35499999999999998</v>
      </c>
      <c r="G283" s="3">
        <v>0.14000000000000001</v>
      </c>
      <c r="H283" s="3">
        <v>1.17E-3</v>
      </c>
      <c r="I283" s="3">
        <v>0</v>
      </c>
      <c r="J283" s="3" t="s">
        <v>48</v>
      </c>
      <c r="K283" s="2">
        <v>170</v>
      </c>
      <c r="L283" s="2">
        <v>226</v>
      </c>
      <c r="M283">
        <f t="shared" ca="1" si="4"/>
        <v>5.5579684942132168E-2</v>
      </c>
    </row>
    <row r="284" spans="1:13" x14ac:dyDescent="0.4">
      <c r="A284" t="s">
        <v>607</v>
      </c>
      <c r="B284" t="s">
        <v>608</v>
      </c>
      <c r="C284" t="s">
        <v>47</v>
      </c>
      <c r="D284" s="2">
        <v>8</v>
      </c>
      <c r="E284" s="2">
        <v>39</v>
      </c>
      <c r="F284" s="3">
        <v>0.65300000000000002</v>
      </c>
      <c r="G284" s="3">
        <v>5.9700000000000003E-2</v>
      </c>
      <c r="H284" s="3">
        <v>3.3000000000000002E-2</v>
      </c>
      <c r="I284" s="3">
        <v>0</v>
      </c>
      <c r="J284" s="3" t="s">
        <v>48</v>
      </c>
      <c r="K284" s="2">
        <v>145</v>
      </c>
      <c r="L284" s="2">
        <v>208</v>
      </c>
      <c r="M284">
        <f t="shared" ca="1" si="4"/>
        <v>0.39324319764667925</v>
      </c>
    </row>
    <row r="285" spans="1:13" x14ac:dyDescent="0.4">
      <c r="A285" t="s">
        <v>609</v>
      </c>
      <c r="B285" t="s">
        <v>610</v>
      </c>
      <c r="C285" t="s">
        <v>66</v>
      </c>
      <c r="D285" s="2">
        <v>22</v>
      </c>
      <c r="E285" s="2">
        <v>3</v>
      </c>
      <c r="F285" s="3">
        <v>0.59299999999999997</v>
      </c>
      <c r="G285" s="3">
        <v>9.7600000000000006E-2</v>
      </c>
      <c r="H285" s="3">
        <v>0.11799999999999999</v>
      </c>
      <c r="I285" s="3">
        <v>0</v>
      </c>
      <c r="J285" s="3" t="s">
        <v>48</v>
      </c>
      <c r="K285" s="2">
        <v>80</v>
      </c>
      <c r="L285" s="2">
        <v>327</v>
      </c>
      <c r="M285">
        <f t="shared" ca="1" si="4"/>
        <v>0.16739056651826612</v>
      </c>
    </row>
    <row r="286" spans="1:13" x14ac:dyDescent="0.4">
      <c r="A286" t="s">
        <v>611</v>
      </c>
      <c r="B286" t="s">
        <v>612</v>
      </c>
      <c r="C286" t="s">
        <v>66</v>
      </c>
      <c r="D286" s="2">
        <v>9</v>
      </c>
      <c r="E286" s="2">
        <v>45</v>
      </c>
      <c r="F286" s="3">
        <v>0.60499999999999998</v>
      </c>
      <c r="G286" s="3">
        <v>0.112</v>
      </c>
      <c r="H286" s="3">
        <v>0.122</v>
      </c>
      <c r="I286" s="3">
        <v>0</v>
      </c>
      <c r="J286" s="3" t="s">
        <v>48</v>
      </c>
      <c r="K286" s="2">
        <v>84</v>
      </c>
      <c r="L286" s="2">
        <v>340</v>
      </c>
      <c r="M286">
        <f t="shared" ca="1" si="4"/>
        <v>0.30997183588867194</v>
      </c>
    </row>
    <row r="287" spans="1:13" x14ac:dyDescent="0.4">
      <c r="A287" t="s">
        <v>613</v>
      </c>
      <c r="B287" t="s">
        <v>614</v>
      </c>
      <c r="C287" t="s">
        <v>66</v>
      </c>
      <c r="D287" s="2">
        <v>20</v>
      </c>
      <c r="E287" s="2">
        <v>47</v>
      </c>
      <c r="F287" s="3">
        <v>0.748</v>
      </c>
      <c r="G287" s="3">
        <v>0.17299999999999999</v>
      </c>
      <c r="H287" s="3">
        <v>0.439</v>
      </c>
      <c r="I287" s="3">
        <v>0</v>
      </c>
      <c r="J287" s="3" t="s">
        <v>67</v>
      </c>
      <c r="K287" s="2">
        <v>95</v>
      </c>
      <c r="L287" s="2">
        <v>251</v>
      </c>
      <c r="M287">
        <f t="shared" ca="1" si="4"/>
        <v>0.52965558506985866</v>
      </c>
    </row>
    <row r="288" spans="1:13" x14ac:dyDescent="0.4">
      <c r="A288" t="s">
        <v>615</v>
      </c>
      <c r="B288" t="s">
        <v>616</v>
      </c>
      <c r="C288" t="s">
        <v>61</v>
      </c>
      <c r="D288" s="2">
        <v>32</v>
      </c>
      <c r="E288" s="2">
        <v>71</v>
      </c>
      <c r="F288" s="3">
        <v>0.53300000000000003</v>
      </c>
      <c r="G288" s="3">
        <v>3.2300000000000002E-2</v>
      </c>
      <c r="H288" s="3">
        <v>0.16</v>
      </c>
      <c r="I288" s="4">
        <v>1.1199999999999999E-5</v>
      </c>
      <c r="J288" s="3" t="s">
        <v>48</v>
      </c>
      <c r="K288" s="2">
        <v>140</v>
      </c>
      <c r="L288" s="2">
        <v>260</v>
      </c>
      <c r="M288">
        <f t="shared" ca="1" si="4"/>
        <v>0.35203991450288008</v>
      </c>
    </row>
    <row r="289" spans="1:13" x14ac:dyDescent="0.4">
      <c r="A289" t="s">
        <v>617</v>
      </c>
      <c r="B289" t="s">
        <v>618</v>
      </c>
      <c r="C289" t="s">
        <v>66</v>
      </c>
      <c r="D289" s="2">
        <v>8</v>
      </c>
      <c r="E289" s="2">
        <v>36</v>
      </c>
      <c r="F289" s="3">
        <v>0.50700000000000001</v>
      </c>
      <c r="G289" s="3">
        <v>0.12</v>
      </c>
      <c r="H289" s="3">
        <v>0.17699999999999999</v>
      </c>
      <c r="I289" s="3">
        <v>0</v>
      </c>
      <c r="J289" s="3" t="s">
        <v>67</v>
      </c>
      <c r="K289" s="2">
        <v>90</v>
      </c>
      <c r="L289" s="2">
        <v>239</v>
      </c>
      <c r="M289">
        <f t="shared" ca="1" si="4"/>
        <v>0.63645975988792491</v>
      </c>
    </row>
    <row r="290" spans="1:13" x14ac:dyDescent="0.4">
      <c r="A290" t="s">
        <v>619</v>
      </c>
      <c r="B290" t="s">
        <v>620</v>
      </c>
      <c r="C290" t="s">
        <v>66</v>
      </c>
      <c r="D290" s="2">
        <v>22</v>
      </c>
      <c r="E290" s="2">
        <v>5</v>
      </c>
      <c r="F290" s="3">
        <v>0.88100000000000001</v>
      </c>
      <c r="G290" s="3">
        <v>4.5400000000000003E-2</v>
      </c>
      <c r="H290" s="3">
        <v>0.20300000000000001</v>
      </c>
      <c r="I290" s="4">
        <v>5.1100000000000002E-6</v>
      </c>
      <c r="J290" s="3" t="s">
        <v>67</v>
      </c>
      <c r="K290" s="2">
        <v>95</v>
      </c>
      <c r="L290" s="2">
        <v>222</v>
      </c>
      <c r="M290">
        <f t="shared" ca="1" si="4"/>
        <v>0.38192380454552</v>
      </c>
    </row>
    <row r="291" spans="1:13" x14ac:dyDescent="0.4">
      <c r="A291" t="s">
        <v>621</v>
      </c>
      <c r="B291" t="s">
        <v>622</v>
      </c>
      <c r="C291" t="s">
        <v>66</v>
      </c>
      <c r="D291" s="2">
        <v>3</v>
      </c>
      <c r="E291" s="2">
        <v>54</v>
      </c>
      <c r="F291" s="3">
        <v>0.48399999999999999</v>
      </c>
      <c r="G291" s="3">
        <v>3.7400000000000003E-2</v>
      </c>
      <c r="H291" s="3">
        <v>0.92500000000000004</v>
      </c>
      <c r="I291" s="4">
        <v>6.8999999999999997E-4</v>
      </c>
      <c r="J291" s="3" t="s">
        <v>67</v>
      </c>
      <c r="K291" s="2">
        <v>81</v>
      </c>
      <c r="L291" s="2">
        <v>268</v>
      </c>
      <c r="M291">
        <f t="shared" ca="1" si="4"/>
        <v>0.33067006087460959</v>
      </c>
    </row>
    <row r="292" spans="1:13" x14ac:dyDescent="0.4">
      <c r="A292" t="s">
        <v>623</v>
      </c>
      <c r="B292" t="s">
        <v>624</v>
      </c>
      <c r="C292" t="s">
        <v>61</v>
      </c>
      <c r="D292" s="2">
        <v>42</v>
      </c>
      <c r="E292" s="2">
        <v>35</v>
      </c>
      <c r="F292" s="3">
        <v>0.51900000000000002</v>
      </c>
      <c r="G292" s="3">
        <v>5.8099999999999999E-2</v>
      </c>
      <c r="H292" s="3">
        <v>0.218</v>
      </c>
      <c r="I292" s="4">
        <v>5.66E-5</v>
      </c>
      <c r="J292" s="3" t="s">
        <v>48</v>
      </c>
      <c r="K292" s="2">
        <v>154</v>
      </c>
      <c r="L292" s="2">
        <v>334</v>
      </c>
      <c r="M292">
        <f t="shared" ca="1" si="4"/>
        <v>0.76348554414812253</v>
      </c>
    </row>
    <row r="293" spans="1:13" x14ac:dyDescent="0.4">
      <c r="A293" t="s">
        <v>625</v>
      </c>
      <c r="B293" t="s">
        <v>626</v>
      </c>
      <c r="C293" t="s">
        <v>84</v>
      </c>
      <c r="D293" s="2">
        <v>1</v>
      </c>
      <c r="E293" s="2">
        <v>47</v>
      </c>
      <c r="F293" s="3">
        <v>0.36699999999999999</v>
      </c>
      <c r="G293" s="3">
        <v>4.0800000000000003E-2</v>
      </c>
      <c r="H293" s="3">
        <v>0.189</v>
      </c>
      <c r="I293" s="3">
        <v>0</v>
      </c>
      <c r="J293" s="3" t="s">
        <v>48</v>
      </c>
      <c r="K293" s="2">
        <v>150</v>
      </c>
      <c r="L293" s="2">
        <v>262</v>
      </c>
      <c r="M293">
        <f t="shared" ca="1" si="4"/>
        <v>2.5211155521319473E-2</v>
      </c>
    </row>
    <row r="294" spans="1:13" x14ac:dyDescent="0.4">
      <c r="A294" t="s">
        <v>627</v>
      </c>
      <c r="B294" t="s">
        <v>628</v>
      </c>
      <c r="C294" t="s">
        <v>84</v>
      </c>
      <c r="D294" s="2">
        <v>1</v>
      </c>
      <c r="E294" s="2">
        <v>48</v>
      </c>
      <c r="F294" s="3">
        <v>0.41</v>
      </c>
      <c r="G294" s="3">
        <v>0.10199999999999999</v>
      </c>
      <c r="H294" s="3">
        <v>1.29E-2</v>
      </c>
      <c r="I294" s="4">
        <v>3.2600000000000001E-4</v>
      </c>
      <c r="J294" s="3" t="s">
        <v>48</v>
      </c>
      <c r="K294" s="2">
        <v>140</v>
      </c>
      <c r="L294" s="2">
        <v>157</v>
      </c>
      <c r="M294">
        <f t="shared" ca="1" si="4"/>
        <v>0.57045658127465115</v>
      </c>
    </row>
    <row r="295" spans="1:13" x14ac:dyDescent="0.4">
      <c r="A295" t="s">
        <v>629</v>
      </c>
      <c r="B295" t="s">
        <v>630</v>
      </c>
      <c r="C295" t="s">
        <v>61</v>
      </c>
      <c r="D295" s="2">
        <v>2</v>
      </c>
      <c r="E295" s="2">
        <v>61</v>
      </c>
      <c r="F295" s="3">
        <v>0.46600000000000003</v>
      </c>
      <c r="G295" s="3">
        <v>9.7600000000000006E-2</v>
      </c>
      <c r="H295" s="4">
        <v>5.4500000000000003E-5</v>
      </c>
      <c r="I295" s="3">
        <v>0</v>
      </c>
      <c r="J295" s="3" t="s">
        <v>48</v>
      </c>
      <c r="K295" s="2">
        <v>138</v>
      </c>
      <c r="L295" s="2">
        <v>198</v>
      </c>
      <c r="M295">
        <f t="shared" ca="1" si="4"/>
        <v>0.63688145006097829</v>
      </c>
    </row>
    <row r="296" spans="1:13" x14ac:dyDescent="0.4">
      <c r="A296" t="s">
        <v>631</v>
      </c>
      <c r="B296" t="s">
        <v>632</v>
      </c>
      <c r="C296" t="s">
        <v>47</v>
      </c>
      <c r="D296" s="2">
        <v>1</v>
      </c>
      <c r="E296" s="2">
        <v>53</v>
      </c>
      <c r="F296" s="3">
        <v>0.90400000000000003</v>
      </c>
      <c r="G296" s="3">
        <v>9.5799999999999996E-2</v>
      </c>
      <c r="H296" s="3">
        <v>0.20300000000000001</v>
      </c>
      <c r="I296" s="4">
        <v>2.6600000000000001E-4</v>
      </c>
      <c r="J296" s="3" t="s">
        <v>48</v>
      </c>
      <c r="K296" s="2">
        <v>122</v>
      </c>
      <c r="L296" s="2">
        <v>179</v>
      </c>
      <c r="M296">
        <f t="shared" ca="1" si="4"/>
        <v>0.32123235675504636</v>
      </c>
    </row>
    <row r="297" spans="1:13" x14ac:dyDescent="0.4">
      <c r="A297" t="s">
        <v>633</v>
      </c>
      <c r="B297" t="s">
        <v>634</v>
      </c>
      <c r="C297" t="s">
        <v>53</v>
      </c>
      <c r="D297" s="2">
        <v>1</v>
      </c>
      <c r="E297" s="2">
        <v>19</v>
      </c>
      <c r="F297" s="3">
        <v>0.747</v>
      </c>
      <c r="G297" s="3">
        <v>7.0599999999999996E-2</v>
      </c>
      <c r="H297" s="3">
        <v>0.23100000000000001</v>
      </c>
      <c r="I297" s="4">
        <v>1.5600000000000001E-6</v>
      </c>
      <c r="J297" s="3" t="s">
        <v>48</v>
      </c>
      <c r="K297" s="2">
        <v>158</v>
      </c>
      <c r="L297" s="2">
        <v>238</v>
      </c>
      <c r="M297">
        <f t="shared" ca="1" si="4"/>
        <v>0.53540487518272362</v>
      </c>
    </row>
    <row r="298" spans="1:13" x14ac:dyDescent="0.4">
      <c r="A298" t="s">
        <v>635</v>
      </c>
      <c r="B298" t="s">
        <v>636</v>
      </c>
      <c r="C298" t="s">
        <v>56</v>
      </c>
      <c r="D298" s="2">
        <v>5</v>
      </c>
      <c r="E298" s="2">
        <v>13</v>
      </c>
      <c r="F298" s="3">
        <v>0.84899999999999998</v>
      </c>
      <c r="G298" s="3">
        <v>3.8100000000000002E-2</v>
      </c>
      <c r="H298" s="3">
        <v>6.4199999999999993E-2</v>
      </c>
      <c r="I298" s="3">
        <v>2.93E-2</v>
      </c>
      <c r="J298" s="3" t="s">
        <v>48</v>
      </c>
      <c r="K298" s="2">
        <v>122</v>
      </c>
      <c r="L298" s="2">
        <v>348</v>
      </c>
      <c r="M298">
        <f t="shared" ca="1" si="4"/>
        <v>0.2699677089441076</v>
      </c>
    </row>
    <row r="299" spans="1:13" x14ac:dyDescent="0.4">
      <c r="A299" t="s">
        <v>637</v>
      </c>
      <c r="B299" t="s">
        <v>638</v>
      </c>
      <c r="C299" t="s">
        <v>66</v>
      </c>
      <c r="D299" s="2">
        <v>21</v>
      </c>
      <c r="E299" s="2">
        <v>46</v>
      </c>
      <c r="F299" s="3">
        <v>0.73</v>
      </c>
      <c r="G299" s="3">
        <v>4.9200000000000001E-2</v>
      </c>
      <c r="H299" s="3">
        <v>4.6899999999999997E-2</v>
      </c>
      <c r="I299" s="3">
        <v>3.3300000000000001E-3</v>
      </c>
      <c r="J299" s="3" t="s">
        <v>48</v>
      </c>
      <c r="K299" s="2">
        <v>124</v>
      </c>
      <c r="L299" s="2">
        <v>260</v>
      </c>
      <c r="M299">
        <f t="shared" ca="1" si="4"/>
        <v>0.57303909416689802</v>
      </c>
    </row>
    <row r="300" spans="1:13" x14ac:dyDescent="0.4">
      <c r="A300" t="s">
        <v>639</v>
      </c>
      <c r="B300" t="s">
        <v>640</v>
      </c>
      <c r="C300" t="s">
        <v>61</v>
      </c>
      <c r="D300" s="2">
        <v>1</v>
      </c>
      <c r="E300" s="2">
        <v>30</v>
      </c>
      <c r="F300" s="3">
        <v>0.41099999999999998</v>
      </c>
      <c r="G300" s="3">
        <v>2.7199999999999998E-2</v>
      </c>
      <c r="H300" s="3">
        <v>1.46E-2</v>
      </c>
      <c r="I300" s="3">
        <v>3.5300000000000002E-3</v>
      </c>
      <c r="J300" s="3" t="s">
        <v>48</v>
      </c>
      <c r="K300" s="2">
        <v>77</v>
      </c>
      <c r="L300" s="2">
        <v>251</v>
      </c>
      <c r="M300">
        <f t="shared" ca="1" si="4"/>
        <v>0.5193440805623879</v>
      </c>
    </row>
    <row r="301" spans="1:13" x14ac:dyDescent="0.4">
      <c r="A301" t="s">
        <v>641</v>
      </c>
      <c r="B301" t="s">
        <v>170</v>
      </c>
      <c r="C301" t="s">
        <v>66</v>
      </c>
      <c r="D301" s="2">
        <v>3</v>
      </c>
      <c r="E301" s="2">
        <v>50</v>
      </c>
      <c r="F301" s="3">
        <v>0.25900000000000001</v>
      </c>
      <c r="G301" s="3">
        <v>3.5000000000000003E-2</v>
      </c>
      <c r="H301" s="3">
        <v>9.9400000000000002E-2</v>
      </c>
      <c r="I301" s="3">
        <v>0</v>
      </c>
      <c r="J301" s="3" t="s">
        <v>67</v>
      </c>
      <c r="K301" s="2">
        <v>78</v>
      </c>
      <c r="L301" s="2">
        <v>377</v>
      </c>
      <c r="M301">
        <f t="shared" ca="1" si="4"/>
        <v>0.68791849973765051</v>
      </c>
    </row>
    <row r="302" spans="1:13" x14ac:dyDescent="0.4">
      <c r="A302" t="s">
        <v>642</v>
      </c>
      <c r="B302" t="s">
        <v>643</v>
      </c>
      <c r="C302" t="s">
        <v>47</v>
      </c>
      <c r="D302" s="2">
        <v>6</v>
      </c>
      <c r="E302" s="2">
        <v>40</v>
      </c>
      <c r="F302" s="3">
        <v>0.72699999999999998</v>
      </c>
      <c r="G302" s="3">
        <v>3.7499999999999999E-2</v>
      </c>
      <c r="H302" s="3">
        <v>0.21099999999999999</v>
      </c>
      <c r="I302" s="4">
        <v>7.0100000000000002E-4</v>
      </c>
      <c r="J302" s="3" t="s">
        <v>48</v>
      </c>
      <c r="K302" s="2">
        <v>101</v>
      </c>
      <c r="L302" s="2">
        <v>198</v>
      </c>
      <c r="M302">
        <f t="shared" ca="1" si="4"/>
        <v>0.66825719129624717</v>
      </c>
    </row>
    <row r="303" spans="1:13" x14ac:dyDescent="0.4">
      <c r="A303" t="s">
        <v>644</v>
      </c>
      <c r="B303" t="s">
        <v>645</v>
      </c>
      <c r="C303" t="s">
        <v>84</v>
      </c>
      <c r="D303" s="2">
        <v>1</v>
      </c>
      <c r="E303" s="2">
        <v>53</v>
      </c>
      <c r="F303" s="3">
        <v>0.64700000000000002</v>
      </c>
      <c r="G303" s="3">
        <v>4.2200000000000001E-2</v>
      </c>
      <c r="H303" s="3">
        <v>8.8400000000000006E-2</v>
      </c>
      <c r="I303" s="3">
        <v>0.94399999999999995</v>
      </c>
      <c r="J303" s="3" t="s">
        <v>67</v>
      </c>
      <c r="K303" s="2">
        <v>90</v>
      </c>
      <c r="L303" s="2">
        <v>153</v>
      </c>
      <c r="M303">
        <f t="shared" ca="1" si="4"/>
        <v>0.28790905069247719</v>
      </c>
    </row>
    <row r="304" spans="1:13" x14ac:dyDescent="0.4">
      <c r="A304" t="s">
        <v>646</v>
      </c>
      <c r="B304" t="s">
        <v>647</v>
      </c>
      <c r="C304" t="s">
        <v>56</v>
      </c>
      <c r="D304" s="2">
        <v>2</v>
      </c>
      <c r="E304" s="2">
        <v>31</v>
      </c>
      <c r="F304" s="3">
        <v>0.41899999999999998</v>
      </c>
      <c r="G304" s="3">
        <v>0.10299999999999999</v>
      </c>
      <c r="H304" s="3">
        <v>0.83699999999999997</v>
      </c>
      <c r="I304" s="3">
        <v>0.379</v>
      </c>
      <c r="J304" s="3" t="s">
        <v>48</v>
      </c>
      <c r="K304" s="2">
        <v>82</v>
      </c>
      <c r="L304" s="2">
        <v>232</v>
      </c>
      <c r="M304">
        <f t="shared" ca="1" si="4"/>
        <v>0.21272810282073029</v>
      </c>
    </row>
    <row r="305" spans="1:13" x14ac:dyDescent="0.4">
      <c r="A305" t="s">
        <v>648</v>
      </c>
      <c r="B305" t="s">
        <v>649</v>
      </c>
      <c r="C305" t="s">
        <v>84</v>
      </c>
      <c r="D305" s="2">
        <v>1</v>
      </c>
      <c r="E305" s="2">
        <v>53</v>
      </c>
      <c r="F305" s="3">
        <v>0.92</v>
      </c>
      <c r="G305" s="3">
        <v>9.3299999999999994E-2</v>
      </c>
      <c r="H305" s="3">
        <v>2.8000000000000001E-2</v>
      </c>
      <c r="I305" s="3">
        <v>1.18E-2</v>
      </c>
      <c r="J305" s="3" t="s">
        <v>67</v>
      </c>
      <c r="K305" s="2">
        <v>120</v>
      </c>
      <c r="L305" s="2">
        <v>166</v>
      </c>
      <c r="M305">
        <f t="shared" ca="1" si="4"/>
        <v>0.11115378306293067</v>
      </c>
    </row>
    <row r="306" spans="1:13" x14ac:dyDescent="0.4">
      <c r="A306" t="s">
        <v>650</v>
      </c>
      <c r="B306" t="s">
        <v>98</v>
      </c>
      <c r="C306" t="s">
        <v>56</v>
      </c>
      <c r="D306" s="2">
        <v>4</v>
      </c>
      <c r="E306" s="2">
        <v>53</v>
      </c>
      <c r="F306" s="3">
        <v>0.55400000000000005</v>
      </c>
      <c r="G306" s="3">
        <v>4.6600000000000003E-2</v>
      </c>
      <c r="H306" s="3">
        <v>0.159</v>
      </c>
      <c r="I306" s="4">
        <v>2.7E-6</v>
      </c>
      <c r="J306" s="3" t="s">
        <v>48</v>
      </c>
      <c r="K306" s="2">
        <v>80</v>
      </c>
      <c r="L306" s="2">
        <v>287</v>
      </c>
      <c r="M306">
        <f t="shared" ca="1" si="4"/>
        <v>0.16524409978715038</v>
      </c>
    </row>
    <row r="307" spans="1:13" x14ac:dyDescent="0.4">
      <c r="A307" t="s">
        <v>651</v>
      </c>
      <c r="B307" t="s">
        <v>652</v>
      </c>
      <c r="C307" t="s">
        <v>66</v>
      </c>
      <c r="D307" s="2">
        <v>5</v>
      </c>
      <c r="E307" s="2">
        <v>40</v>
      </c>
      <c r="F307" s="3">
        <v>0.83099999999999996</v>
      </c>
      <c r="G307" s="3">
        <v>0.15</v>
      </c>
      <c r="H307" s="3">
        <v>6.0000000000000001E-3</v>
      </c>
      <c r="I307" s="3">
        <v>2.6200000000000001E-2</v>
      </c>
      <c r="J307" s="3" t="s">
        <v>48</v>
      </c>
      <c r="K307" s="2">
        <v>122</v>
      </c>
      <c r="L307" s="2">
        <v>163</v>
      </c>
      <c r="M307">
        <f t="shared" ca="1" si="4"/>
        <v>0.27520440580239514</v>
      </c>
    </row>
    <row r="308" spans="1:13" x14ac:dyDescent="0.4">
      <c r="A308" t="s">
        <v>653</v>
      </c>
      <c r="B308" t="s">
        <v>654</v>
      </c>
      <c r="C308" t="s">
        <v>56</v>
      </c>
      <c r="D308" s="2">
        <v>2</v>
      </c>
      <c r="E308" s="2">
        <v>13</v>
      </c>
      <c r="F308" s="3">
        <v>0.76100000000000001</v>
      </c>
      <c r="G308" s="3">
        <v>4.58E-2</v>
      </c>
      <c r="H308" s="3">
        <v>1.66E-3</v>
      </c>
      <c r="I308" s="3">
        <v>0.86</v>
      </c>
      <c r="J308" s="3" t="s">
        <v>48</v>
      </c>
      <c r="K308" s="2">
        <v>125</v>
      </c>
      <c r="L308" s="2">
        <v>410</v>
      </c>
      <c r="M308">
        <f t="shared" ca="1" si="4"/>
        <v>0.33967644233735317</v>
      </c>
    </row>
    <row r="309" spans="1:13" x14ac:dyDescent="0.4">
      <c r="A309" t="s">
        <v>655</v>
      </c>
      <c r="B309" t="s">
        <v>656</v>
      </c>
      <c r="C309" t="s">
        <v>56</v>
      </c>
      <c r="D309" s="2">
        <v>1</v>
      </c>
      <c r="E309" s="2">
        <v>59</v>
      </c>
      <c r="F309" s="3">
        <v>0.63100000000000001</v>
      </c>
      <c r="G309" s="3">
        <v>3.2399999999999998E-2</v>
      </c>
      <c r="H309" s="3">
        <v>0.311</v>
      </c>
      <c r="I309" s="3">
        <v>0</v>
      </c>
      <c r="J309" s="3" t="s">
        <v>48</v>
      </c>
      <c r="K309" s="2">
        <v>105</v>
      </c>
      <c r="L309" s="2">
        <v>206</v>
      </c>
      <c r="M309">
        <f t="shared" ca="1" si="4"/>
        <v>0.35055166814783079</v>
      </c>
    </row>
    <row r="310" spans="1:13" x14ac:dyDescent="0.4">
      <c r="A310" t="s">
        <v>657</v>
      </c>
      <c r="B310" t="s">
        <v>658</v>
      </c>
      <c r="C310" t="s">
        <v>61</v>
      </c>
      <c r="D310" s="2">
        <v>6</v>
      </c>
      <c r="E310" s="2">
        <v>39</v>
      </c>
      <c r="F310" s="3">
        <v>0.432</v>
      </c>
      <c r="G310" s="3">
        <v>3.5099999999999999E-2</v>
      </c>
      <c r="H310" s="3">
        <v>4.8300000000000001E-3</v>
      </c>
      <c r="I310" s="3">
        <v>8.1100000000000005E-2</v>
      </c>
      <c r="J310" s="3" t="s">
        <v>48</v>
      </c>
      <c r="K310" s="2">
        <v>146</v>
      </c>
      <c r="L310" s="2">
        <v>367</v>
      </c>
      <c r="M310">
        <f t="shared" ca="1" si="4"/>
        <v>0.54840819861872148</v>
      </c>
    </row>
    <row r="311" spans="1:13" x14ac:dyDescent="0.4">
      <c r="A311" t="s">
        <v>659</v>
      </c>
      <c r="B311" t="s">
        <v>510</v>
      </c>
      <c r="C311" t="s">
        <v>84</v>
      </c>
      <c r="D311" s="2">
        <v>1</v>
      </c>
      <c r="E311" s="2">
        <v>8</v>
      </c>
      <c r="F311" s="3">
        <v>0.56899999999999995</v>
      </c>
      <c r="G311" s="3">
        <v>0.36399999999999999</v>
      </c>
      <c r="H311" s="3">
        <v>0.55300000000000005</v>
      </c>
      <c r="I311" s="4">
        <v>6.55E-6</v>
      </c>
      <c r="J311" s="3" t="s">
        <v>48</v>
      </c>
      <c r="K311" s="2">
        <v>157</v>
      </c>
      <c r="L311" s="2">
        <v>290</v>
      </c>
      <c r="M311">
        <f t="shared" ca="1" si="4"/>
        <v>0.32182303062825923</v>
      </c>
    </row>
    <row r="312" spans="1:13" x14ac:dyDescent="0.4">
      <c r="A312" t="s">
        <v>660</v>
      </c>
      <c r="B312" t="s">
        <v>661</v>
      </c>
      <c r="C312" t="s">
        <v>56</v>
      </c>
      <c r="D312" s="2">
        <v>5</v>
      </c>
      <c r="E312" s="2">
        <v>24</v>
      </c>
      <c r="F312" s="3">
        <v>0.748</v>
      </c>
      <c r="G312" s="3">
        <v>4.8399999999999999E-2</v>
      </c>
      <c r="H312" s="3">
        <v>1.39E-3</v>
      </c>
      <c r="I312" s="3">
        <v>0.51600000000000001</v>
      </c>
      <c r="J312" s="3" t="s">
        <v>48</v>
      </c>
      <c r="K312" s="2">
        <v>122</v>
      </c>
      <c r="L312" s="2">
        <v>364</v>
      </c>
      <c r="M312">
        <f t="shared" ca="1" si="4"/>
        <v>0.34616711500818054</v>
      </c>
    </row>
    <row r="313" spans="1:13" x14ac:dyDescent="0.4">
      <c r="A313" t="s">
        <v>662</v>
      </c>
      <c r="B313" t="s">
        <v>663</v>
      </c>
      <c r="C313" t="s">
        <v>47</v>
      </c>
      <c r="D313" s="2">
        <v>2</v>
      </c>
      <c r="E313" s="2">
        <v>38</v>
      </c>
      <c r="F313" s="3">
        <v>0.61799999999999999</v>
      </c>
      <c r="G313" s="3">
        <v>3.3000000000000002E-2</v>
      </c>
      <c r="H313" s="4">
        <v>1.08E-4</v>
      </c>
      <c r="I313" s="3">
        <v>0.88100000000000001</v>
      </c>
      <c r="J313" s="3" t="s">
        <v>48</v>
      </c>
      <c r="K313" s="2">
        <v>115</v>
      </c>
      <c r="L313" s="2">
        <v>254</v>
      </c>
      <c r="M313">
        <f t="shared" ca="1" si="4"/>
        <v>0.60533851724690202</v>
      </c>
    </row>
    <row r="314" spans="1:13" x14ac:dyDescent="0.4">
      <c r="A314" t="s">
        <v>664</v>
      </c>
      <c r="B314" t="s">
        <v>665</v>
      </c>
      <c r="C314" t="s">
        <v>47</v>
      </c>
      <c r="D314" s="2">
        <v>1</v>
      </c>
      <c r="E314" s="2">
        <v>38</v>
      </c>
      <c r="F314" s="3">
        <v>0.73199999999999998</v>
      </c>
      <c r="G314" s="3">
        <v>0.14099999999999999</v>
      </c>
      <c r="H314" s="3">
        <v>0.187</v>
      </c>
      <c r="I314" s="4">
        <v>6.1200000000000002E-4</v>
      </c>
      <c r="J314" s="3" t="s">
        <v>48</v>
      </c>
      <c r="K314" s="2">
        <v>100</v>
      </c>
      <c r="L314" s="2">
        <v>255</v>
      </c>
      <c r="M314">
        <f t="shared" ca="1" si="4"/>
        <v>0.29032189037684331</v>
      </c>
    </row>
    <row r="315" spans="1:13" x14ac:dyDescent="0.4">
      <c r="A315" t="s">
        <v>666</v>
      </c>
      <c r="B315" t="s">
        <v>667</v>
      </c>
      <c r="C315" t="s">
        <v>47</v>
      </c>
      <c r="D315" s="2">
        <v>3</v>
      </c>
      <c r="E315" s="2">
        <v>53</v>
      </c>
      <c r="F315" s="3">
        <v>0.58299999999999996</v>
      </c>
      <c r="G315" s="3">
        <v>5.7500000000000002E-2</v>
      </c>
      <c r="H315" s="3">
        <v>4.6800000000000001E-2</v>
      </c>
      <c r="I315" s="3">
        <v>0</v>
      </c>
      <c r="J315" s="3" t="s">
        <v>48</v>
      </c>
      <c r="K315" s="2">
        <v>106</v>
      </c>
      <c r="L315" s="2">
        <v>205</v>
      </c>
      <c r="M315">
        <f t="shared" ca="1" si="4"/>
        <v>0.68445063974688336</v>
      </c>
    </row>
    <row r="316" spans="1:13" x14ac:dyDescent="0.4">
      <c r="A316" t="s">
        <v>668</v>
      </c>
      <c r="B316" t="s">
        <v>669</v>
      </c>
      <c r="C316" t="s">
        <v>61</v>
      </c>
      <c r="D316" s="2">
        <v>26</v>
      </c>
      <c r="E316" s="2">
        <v>69</v>
      </c>
      <c r="F316" s="3">
        <v>0.438</v>
      </c>
      <c r="G316" s="3">
        <v>3.0499999999999999E-2</v>
      </c>
      <c r="H316" s="3">
        <v>0.3</v>
      </c>
      <c r="I316" s="4">
        <v>4.4900000000000002E-6</v>
      </c>
      <c r="J316" s="3" t="s">
        <v>48</v>
      </c>
      <c r="K316" s="2">
        <v>134</v>
      </c>
      <c r="L316" s="2">
        <v>241</v>
      </c>
      <c r="M316">
        <f t="shared" ca="1" si="4"/>
        <v>0.16289036032619042</v>
      </c>
    </row>
    <row r="317" spans="1:13" x14ac:dyDescent="0.4">
      <c r="A317" t="s">
        <v>670</v>
      </c>
      <c r="B317" t="s">
        <v>73</v>
      </c>
      <c r="C317" t="s">
        <v>61</v>
      </c>
      <c r="D317" s="2">
        <v>32</v>
      </c>
      <c r="E317" s="2">
        <v>48</v>
      </c>
      <c r="F317" s="3">
        <v>0.61499999999999999</v>
      </c>
      <c r="G317" s="3">
        <v>3.1099999999999999E-2</v>
      </c>
      <c r="H317" s="3">
        <v>0.42599999999999999</v>
      </c>
      <c r="I317" s="4">
        <v>7.2600000000000003E-5</v>
      </c>
      <c r="J317" s="3" t="s">
        <v>48</v>
      </c>
      <c r="K317" s="2">
        <v>135</v>
      </c>
      <c r="L317" s="2">
        <v>191</v>
      </c>
      <c r="M317">
        <f t="shared" ca="1" si="4"/>
        <v>0.17711891483487052</v>
      </c>
    </row>
    <row r="318" spans="1:13" x14ac:dyDescent="0.4">
      <c r="A318" t="s">
        <v>671</v>
      </c>
      <c r="B318" t="s">
        <v>672</v>
      </c>
      <c r="C318" t="s">
        <v>61</v>
      </c>
      <c r="D318" s="2">
        <v>36</v>
      </c>
      <c r="E318" s="2">
        <v>73</v>
      </c>
      <c r="F318" s="3">
        <v>0.62</v>
      </c>
      <c r="G318" s="3">
        <v>3.4700000000000002E-2</v>
      </c>
      <c r="H318" s="3">
        <v>0.58899999999999997</v>
      </c>
      <c r="I318" s="3">
        <v>2.9899999999999999E-2</v>
      </c>
      <c r="J318" s="3" t="s">
        <v>67</v>
      </c>
      <c r="K318" s="2">
        <v>89</v>
      </c>
      <c r="L318" s="2">
        <v>156</v>
      </c>
      <c r="M318">
        <f t="shared" ca="1" si="4"/>
        <v>0.18824754244205155</v>
      </c>
    </row>
    <row r="319" spans="1:13" x14ac:dyDescent="0.4">
      <c r="A319" t="s">
        <v>673</v>
      </c>
      <c r="B319" t="s">
        <v>674</v>
      </c>
      <c r="C319" t="s">
        <v>56</v>
      </c>
      <c r="D319" s="2">
        <v>1</v>
      </c>
      <c r="E319" s="2">
        <v>48</v>
      </c>
      <c r="F319" s="3">
        <v>0.29899999999999999</v>
      </c>
      <c r="G319" s="3">
        <v>6.6000000000000003E-2</v>
      </c>
      <c r="H319" s="3">
        <v>7.6600000000000001E-3</v>
      </c>
      <c r="I319" s="4">
        <v>1.4100000000000001E-4</v>
      </c>
      <c r="J319" s="3" t="s">
        <v>48</v>
      </c>
      <c r="K319" s="2">
        <v>149</v>
      </c>
      <c r="L319" s="2">
        <v>163</v>
      </c>
      <c r="M319">
        <f t="shared" ca="1" si="4"/>
        <v>0.93520852721880765</v>
      </c>
    </row>
    <row r="320" spans="1:13" x14ac:dyDescent="0.4">
      <c r="A320" t="s">
        <v>675</v>
      </c>
      <c r="B320" t="s">
        <v>676</v>
      </c>
      <c r="C320" t="s">
        <v>66</v>
      </c>
      <c r="D320" s="2">
        <v>6</v>
      </c>
      <c r="E320" s="2">
        <v>36</v>
      </c>
      <c r="F320" s="3">
        <v>0.70399999999999996</v>
      </c>
      <c r="G320" s="3">
        <v>8.6300000000000002E-2</v>
      </c>
      <c r="H320" s="3">
        <v>3.3399999999999999E-2</v>
      </c>
      <c r="I320" s="3">
        <v>0</v>
      </c>
      <c r="J320" s="3" t="s">
        <v>67</v>
      </c>
      <c r="K320" s="2">
        <v>105</v>
      </c>
      <c r="L320" s="2">
        <v>225</v>
      </c>
      <c r="M320">
        <f t="shared" ca="1" si="4"/>
        <v>0.99381305405066922</v>
      </c>
    </row>
    <row r="321" spans="1:13" x14ac:dyDescent="0.4">
      <c r="A321" t="s">
        <v>677</v>
      </c>
      <c r="B321" t="s">
        <v>678</v>
      </c>
      <c r="C321" t="s">
        <v>61</v>
      </c>
      <c r="D321" s="2">
        <v>16</v>
      </c>
      <c r="E321" s="2">
        <v>40</v>
      </c>
      <c r="F321" s="3">
        <v>0.45200000000000001</v>
      </c>
      <c r="G321" s="3">
        <v>5.9299999999999999E-2</v>
      </c>
      <c r="H321" s="4">
        <v>1.5699999999999999E-4</v>
      </c>
      <c r="I321" s="4">
        <v>2.27E-5</v>
      </c>
      <c r="J321" s="3" t="s">
        <v>48</v>
      </c>
      <c r="K321" s="2">
        <v>126</v>
      </c>
      <c r="L321" s="2">
        <v>329</v>
      </c>
      <c r="M321">
        <f t="shared" ca="1" si="4"/>
        <v>0.40223903068398348</v>
      </c>
    </row>
    <row r="322" spans="1:13" x14ac:dyDescent="0.4">
      <c r="A322" t="s">
        <v>679</v>
      </c>
      <c r="B322" t="s">
        <v>260</v>
      </c>
      <c r="C322" t="s">
        <v>53</v>
      </c>
      <c r="D322" s="2">
        <v>4</v>
      </c>
      <c r="E322" s="2">
        <v>35</v>
      </c>
      <c r="F322" s="3">
        <v>0.63600000000000001</v>
      </c>
      <c r="G322" s="3">
        <v>0.125</v>
      </c>
      <c r="H322" s="3">
        <v>0.46899999999999997</v>
      </c>
      <c r="I322" s="3">
        <v>0</v>
      </c>
      <c r="J322" s="3" t="s">
        <v>48</v>
      </c>
      <c r="K322" s="2">
        <v>118</v>
      </c>
      <c r="L322" s="2">
        <v>196</v>
      </c>
      <c r="M322">
        <f t="shared" ref="M322:M385" ca="1" si="5">RAND()</f>
        <v>0.32907644272503278</v>
      </c>
    </row>
    <row r="323" spans="1:13" x14ac:dyDescent="0.4">
      <c r="A323" t="s">
        <v>680</v>
      </c>
      <c r="B323" t="s">
        <v>681</v>
      </c>
      <c r="C323" t="s">
        <v>84</v>
      </c>
      <c r="D323" s="2">
        <v>19</v>
      </c>
      <c r="E323" s="2">
        <v>50</v>
      </c>
      <c r="F323" s="3">
        <v>0.72499999999999998</v>
      </c>
      <c r="G323" s="3">
        <v>8.6400000000000005E-2</v>
      </c>
      <c r="H323" s="4">
        <v>1.01E-4</v>
      </c>
      <c r="I323" s="4">
        <v>9.7599999999999998E-4</v>
      </c>
      <c r="J323" s="3" t="s">
        <v>48</v>
      </c>
      <c r="K323" s="2">
        <v>101</v>
      </c>
      <c r="L323" s="2">
        <v>255</v>
      </c>
      <c r="M323">
        <f t="shared" ca="1" si="5"/>
        <v>0.51938990455083278</v>
      </c>
    </row>
    <row r="324" spans="1:13" x14ac:dyDescent="0.4">
      <c r="A324" t="s">
        <v>682</v>
      </c>
      <c r="B324" t="s">
        <v>683</v>
      </c>
      <c r="C324" t="s">
        <v>47</v>
      </c>
      <c r="D324" s="2">
        <v>4</v>
      </c>
      <c r="E324" s="2">
        <v>51</v>
      </c>
      <c r="F324" s="3">
        <v>0.66700000000000004</v>
      </c>
      <c r="G324" s="3">
        <v>3.1E-2</v>
      </c>
      <c r="H324" s="3">
        <v>1.7299999999999999E-2</v>
      </c>
      <c r="I324" s="4">
        <v>4.7100000000000001E-4</v>
      </c>
      <c r="J324" s="3" t="s">
        <v>48</v>
      </c>
      <c r="K324" s="2">
        <v>88</v>
      </c>
      <c r="L324" s="2">
        <v>206</v>
      </c>
      <c r="M324">
        <f t="shared" ca="1" si="5"/>
        <v>0.77589301766690466</v>
      </c>
    </row>
    <row r="325" spans="1:13" x14ac:dyDescent="0.4">
      <c r="A325" t="s">
        <v>684</v>
      </c>
      <c r="B325" t="s">
        <v>685</v>
      </c>
      <c r="C325" t="s">
        <v>66</v>
      </c>
      <c r="D325" s="2">
        <v>6</v>
      </c>
      <c r="E325" s="2">
        <v>35</v>
      </c>
      <c r="F325" s="3">
        <v>0.80600000000000005</v>
      </c>
      <c r="G325" s="3">
        <v>8.8999999999999996E-2</v>
      </c>
      <c r="H325" s="3">
        <v>5.5899999999999998E-2</v>
      </c>
      <c r="I325" s="3">
        <v>0</v>
      </c>
      <c r="J325" s="3" t="s">
        <v>48</v>
      </c>
      <c r="K325" s="2">
        <v>154</v>
      </c>
      <c r="L325" s="2">
        <v>242</v>
      </c>
      <c r="M325">
        <f t="shared" ca="1" si="5"/>
        <v>0.57946026147214469</v>
      </c>
    </row>
    <row r="326" spans="1:13" x14ac:dyDescent="0.4">
      <c r="A326" t="s">
        <v>686</v>
      </c>
      <c r="B326" t="s">
        <v>687</v>
      </c>
      <c r="C326" t="s">
        <v>56</v>
      </c>
      <c r="D326" s="2">
        <v>1</v>
      </c>
      <c r="E326" s="2">
        <v>29</v>
      </c>
      <c r="F326" s="3">
        <v>0.78200000000000003</v>
      </c>
      <c r="G326" s="3">
        <v>7.8899999999999998E-2</v>
      </c>
      <c r="H326" s="3">
        <v>5.94E-3</v>
      </c>
      <c r="I326" s="3">
        <v>0.48899999999999999</v>
      </c>
      <c r="J326" s="3" t="s">
        <v>48</v>
      </c>
      <c r="K326" s="2">
        <v>126</v>
      </c>
      <c r="L326" s="2">
        <v>167</v>
      </c>
      <c r="M326">
        <f t="shared" ca="1" si="5"/>
        <v>0.791218463423629</v>
      </c>
    </row>
    <row r="327" spans="1:13" x14ac:dyDescent="0.4">
      <c r="A327" t="s">
        <v>688</v>
      </c>
      <c r="B327" t="s">
        <v>689</v>
      </c>
      <c r="C327" t="s">
        <v>84</v>
      </c>
      <c r="D327" s="2">
        <v>17</v>
      </c>
      <c r="E327" s="2">
        <v>37</v>
      </c>
      <c r="F327" s="3">
        <v>0.81200000000000006</v>
      </c>
      <c r="G327" s="3">
        <v>0.20899999999999999</v>
      </c>
      <c r="H327" s="3">
        <v>0.247</v>
      </c>
      <c r="I327" s="3">
        <v>0</v>
      </c>
      <c r="J327" s="3" t="s">
        <v>48</v>
      </c>
      <c r="K327" s="2">
        <v>146</v>
      </c>
      <c r="L327" s="2">
        <v>324</v>
      </c>
      <c r="M327">
        <f t="shared" ca="1" si="5"/>
        <v>0.53988947459783776</v>
      </c>
    </row>
    <row r="328" spans="1:13" x14ac:dyDescent="0.4">
      <c r="A328" t="s">
        <v>690</v>
      </c>
      <c r="B328" t="s">
        <v>691</v>
      </c>
      <c r="C328" t="s">
        <v>53</v>
      </c>
      <c r="D328" s="2">
        <v>1</v>
      </c>
      <c r="E328" s="2">
        <v>47</v>
      </c>
      <c r="F328" s="3">
        <v>0.78</v>
      </c>
      <c r="G328" s="3">
        <v>2.81E-2</v>
      </c>
      <c r="H328" s="3">
        <v>0.80900000000000005</v>
      </c>
      <c r="I328" s="3">
        <v>4.9699999999999996E-3</v>
      </c>
      <c r="J328" s="3" t="s">
        <v>67</v>
      </c>
      <c r="K328" s="2">
        <v>88</v>
      </c>
      <c r="L328" s="2">
        <v>184</v>
      </c>
      <c r="M328">
        <f t="shared" ca="1" si="5"/>
        <v>0.63167599200742752</v>
      </c>
    </row>
    <row r="329" spans="1:13" x14ac:dyDescent="0.4">
      <c r="A329" t="s">
        <v>692</v>
      </c>
      <c r="B329" t="s">
        <v>693</v>
      </c>
      <c r="C329" t="s">
        <v>84</v>
      </c>
      <c r="D329" s="2">
        <v>1</v>
      </c>
      <c r="E329" s="2">
        <v>49</v>
      </c>
      <c r="F329" s="3">
        <v>0.61399999999999999</v>
      </c>
      <c r="G329" s="3">
        <v>0.158</v>
      </c>
      <c r="H329" s="3">
        <v>0.29399999999999998</v>
      </c>
      <c r="I329" s="3">
        <v>0</v>
      </c>
      <c r="J329" s="3" t="s">
        <v>48</v>
      </c>
      <c r="K329" s="2">
        <v>90</v>
      </c>
      <c r="L329" s="2">
        <v>190</v>
      </c>
      <c r="M329">
        <f t="shared" ca="1" si="5"/>
        <v>0.1744248766488139</v>
      </c>
    </row>
    <row r="330" spans="1:13" x14ac:dyDescent="0.4">
      <c r="A330" t="s">
        <v>694</v>
      </c>
      <c r="B330" t="s">
        <v>695</v>
      </c>
      <c r="C330" t="s">
        <v>56</v>
      </c>
      <c r="D330" s="2">
        <v>1</v>
      </c>
      <c r="E330" s="2">
        <v>24</v>
      </c>
      <c r="F330" s="3">
        <v>0.74199999999999999</v>
      </c>
      <c r="G330" s="3">
        <v>9.2499999999999999E-2</v>
      </c>
      <c r="H330" s="3">
        <v>3.13E-3</v>
      </c>
      <c r="I330" s="3">
        <v>0.85399999999999998</v>
      </c>
      <c r="J330" s="3" t="s">
        <v>48</v>
      </c>
      <c r="K330" s="2">
        <v>132</v>
      </c>
      <c r="L330" s="2">
        <v>171</v>
      </c>
      <c r="M330">
        <f t="shared" ca="1" si="5"/>
        <v>0.34066610941204245</v>
      </c>
    </row>
    <row r="331" spans="1:13" x14ac:dyDescent="0.4">
      <c r="A331" t="s">
        <v>696</v>
      </c>
      <c r="B331" t="s">
        <v>697</v>
      </c>
      <c r="C331" t="s">
        <v>56</v>
      </c>
      <c r="D331" s="2">
        <v>8</v>
      </c>
      <c r="E331" s="2">
        <v>4</v>
      </c>
      <c r="F331" s="3">
        <v>0.745</v>
      </c>
      <c r="G331" s="3">
        <v>8.4099999999999994E-2</v>
      </c>
      <c r="H331" s="3">
        <v>0.105</v>
      </c>
      <c r="I331" s="3">
        <v>0.27</v>
      </c>
      <c r="J331" s="3" t="s">
        <v>48</v>
      </c>
      <c r="K331" s="2">
        <v>128</v>
      </c>
      <c r="L331" s="2">
        <v>184</v>
      </c>
      <c r="M331">
        <f t="shared" ca="1" si="5"/>
        <v>0.41955252569997903</v>
      </c>
    </row>
    <row r="332" spans="1:13" x14ac:dyDescent="0.4">
      <c r="A332" t="s">
        <v>698</v>
      </c>
      <c r="B332" t="s">
        <v>699</v>
      </c>
      <c r="C332" t="s">
        <v>47</v>
      </c>
      <c r="D332" s="2">
        <v>7</v>
      </c>
      <c r="E332" s="2">
        <v>53</v>
      </c>
      <c r="F332" s="3">
        <v>0.70599999999999996</v>
      </c>
      <c r="G332" s="3">
        <v>3.0800000000000001E-2</v>
      </c>
      <c r="H332" s="3">
        <v>5.3800000000000001E-2</v>
      </c>
      <c r="I332" s="3">
        <v>0.46500000000000002</v>
      </c>
      <c r="J332" s="3" t="s">
        <v>48</v>
      </c>
      <c r="K332" s="2">
        <v>100</v>
      </c>
      <c r="L332" s="2">
        <v>230</v>
      </c>
      <c r="M332">
        <f t="shared" ca="1" si="5"/>
        <v>0.93070778397294063</v>
      </c>
    </row>
    <row r="333" spans="1:13" x14ac:dyDescent="0.4">
      <c r="A333" t="s">
        <v>700</v>
      </c>
      <c r="B333" t="s">
        <v>701</v>
      </c>
      <c r="C333" t="s">
        <v>47</v>
      </c>
      <c r="D333" s="2">
        <v>1</v>
      </c>
      <c r="E333" s="2">
        <v>62</v>
      </c>
      <c r="F333" s="3">
        <v>0.44900000000000001</v>
      </c>
      <c r="G333" s="3">
        <v>6.2300000000000001E-2</v>
      </c>
      <c r="H333" s="3">
        <v>0.187</v>
      </c>
      <c r="I333" s="3">
        <v>0</v>
      </c>
      <c r="J333" s="3" t="s">
        <v>48</v>
      </c>
      <c r="K333" s="2">
        <v>113</v>
      </c>
      <c r="L333" s="2">
        <v>188</v>
      </c>
      <c r="M333">
        <f t="shared" ca="1" si="5"/>
        <v>0.24120096642673583</v>
      </c>
    </row>
    <row r="334" spans="1:13" x14ac:dyDescent="0.4">
      <c r="A334" t="s">
        <v>702</v>
      </c>
      <c r="B334" t="s">
        <v>703</v>
      </c>
      <c r="C334" t="s">
        <v>61</v>
      </c>
      <c r="D334" s="2">
        <v>13</v>
      </c>
      <c r="E334" s="2">
        <v>47</v>
      </c>
      <c r="F334" s="3">
        <v>0.55400000000000005</v>
      </c>
      <c r="G334" s="3">
        <v>3.0300000000000001E-2</v>
      </c>
      <c r="H334" s="3">
        <v>4.7899999999999998E-2</v>
      </c>
      <c r="I334" s="3">
        <v>0</v>
      </c>
      <c r="J334" s="3" t="s">
        <v>48</v>
      </c>
      <c r="K334" s="2">
        <v>88</v>
      </c>
      <c r="L334" s="2">
        <v>202</v>
      </c>
      <c r="M334">
        <f t="shared" ca="1" si="5"/>
        <v>0.96120367677146679</v>
      </c>
    </row>
    <row r="335" spans="1:13" x14ac:dyDescent="0.4">
      <c r="A335" t="s">
        <v>704</v>
      </c>
      <c r="B335" t="s">
        <v>705</v>
      </c>
      <c r="C335" t="s">
        <v>53</v>
      </c>
      <c r="D335" s="2">
        <v>4</v>
      </c>
      <c r="E335" s="2">
        <v>53</v>
      </c>
      <c r="F335" s="3">
        <v>0.88400000000000001</v>
      </c>
      <c r="G335" s="3">
        <v>0.14499999999999999</v>
      </c>
      <c r="H335" s="3">
        <v>0.38400000000000001</v>
      </c>
      <c r="I335" s="4">
        <v>9.9199999999999999E-6</v>
      </c>
      <c r="J335" s="3" t="s">
        <v>67</v>
      </c>
      <c r="K335" s="2">
        <v>90</v>
      </c>
      <c r="L335" s="2">
        <v>228</v>
      </c>
      <c r="M335">
        <f t="shared" ca="1" si="5"/>
        <v>0.30592066838478171</v>
      </c>
    </row>
    <row r="336" spans="1:13" x14ac:dyDescent="0.4">
      <c r="A336" t="s">
        <v>706</v>
      </c>
      <c r="B336" t="s">
        <v>707</v>
      </c>
      <c r="C336" t="s">
        <v>56</v>
      </c>
      <c r="D336" s="2">
        <v>2</v>
      </c>
      <c r="E336" s="2">
        <v>42</v>
      </c>
      <c r="F336" s="3">
        <v>0.84799999999999998</v>
      </c>
      <c r="G336" s="3">
        <v>7.6600000000000001E-2</v>
      </c>
      <c r="H336" s="3">
        <v>0.499</v>
      </c>
      <c r="I336" s="3">
        <v>0.91600000000000004</v>
      </c>
      <c r="J336" s="3" t="s">
        <v>48</v>
      </c>
      <c r="K336" s="2">
        <v>125</v>
      </c>
      <c r="L336" s="2">
        <v>167</v>
      </c>
      <c r="M336">
        <f t="shared" ca="1" si="5"/>
        <v>0.73726069657869431</v>
      </c>
    </row>
    <row r="337" spans="1:13" x14ac:dyDescent="0.4">
      <c r="A337" t="s">
        <v>708</v>
      </c>
      <c r="B337" t="s">
        <v>709</v>
      </c>
      <c r="C337" t="s">
        <v>53</v>
      </c>
      <c r="D337" s="2">
        <v>21</v>
      </c>
      <c r="E337" s="2">
        <v>54</v>
      </c>
      <c r="F337" s="3">
        <v>0.65700000000000003</v>
      </c>
      <c r="G337" s="3">
        <v>0.13</v>
      </c>
      <c r="H337" s="3">
        <v>0.23599999999999999</v>
      </c>
      <c r="I337" s="3">
        <v>7.4599999999999996E-3</v>
      </c>
      <c r="J337" s="3" t="s">
        <v>48</v>
      </c>
      <c r="K337" s="2">
        <v>90</v>
      </c>
      <c r="L337" s="2">
        <v>309</v>
      </c>
      <c r="M337">
        <f t="shared" ca="1" si="5"/>
        <v>0.21066231679544623</v>
      </c>
    </row>
    <row r="338" spans="1:13" x14ac:dyDescent="0.4">
      <c r="A338" t="s">
        <v>710</v>
      </c>
      <c r="B338" t="s">
        <v>711</v>
      </c>
      <c r="C338" t="s">
        <v>61</v>
      </c>
      <c r="D338" s="2">
        <v>20</v>
      </c>
      <c r="E338" s="2">
        <v>51</v>
      </c>
      <c r="F338" s="3">
        <v>0.66900000000000004</v>
      </c>
      <c r="G338" s="3">
        <v>7.1400000000000005E-2</v>
      </c>
      <c r="H338" s="3">
        <v>2.4E-2</v>
      </c>
      <c r="I338" s="3">
        <v>0</v>
      </c>
      <c r="J338" s="3" t="s">
        <v>48</v>
      </c>
      <c r="K338" s="2">
        <v>84</v>
      </c>
      <c r="L338" s="2">
        <v>262</v>
      </c>
      <c r="M338">
        <f t="shared" ca="1" si="5"/>
        <v>0.83919327540344457</v>
      </c>
    </row>
    <row r="339" spans="1:13" x14ac:dyDescent="0.4">
      <c r="A339" t="s">
        <v>712</v>
      </c>
      <c r="B339" t="s">
        <v>296</v>
      </c>
      <c r="C339" t="s">
        <v>66</v>
      </c>
      <c r="D339" s="2">
        <v>18</v>
      </c>
      <c r="E339" s="2">
        <v>35</v>
      </c>
      <c r="F339" s="3">
        <v>0.81399999999999995</v>
      </c>
      <c r="G339" s="3">
        <v>0.47399999999999998</v>
      </c>
      <c r="H339" s="3">
        <v>0.27200000000000002</v>
      </c>
      <c r="I339" s="3">
        <v>0</v>
      </c>
      <c r="J339" s="3" t="s">
        <v>67</v>
      </c>
      <c r="K339" s="2">
        <v>148</v>
      </c>
      <c r="L339" s="2">
        <v>311</v>
      </c>
      <c r="M339">
        <f t="shared" ca="1" si="5"/>
        <v>0.61657767143874043</v>
      </c>
    </row>
    <row r="340" spans="1:13" x14ac:dyDescent="0.4">
      <c r="A340" t="s">
        <v>713</v>
      </c>
      <c r="B340" t="s">
        <v>79</v>
      </c>
      <c r="C340" t="s">
        <v>56</v>
      </c>
      <c r="D340" s="2">
        <v>7</v>
      </c>
      <c r="E340" s="2">
        <v>7</v>
      </c>
      <c r="F340" s="3">
        <v>0.68600000000000005</v>
      </c>
      <c r="G340" s="3">
        <v>0.112</v>
      </c>
      <c r="H340" s="4">
        <v>2.7599999999999999E-4</v>
      </c>
      <c r="I340" s="3">
        <v>0.1</v>
      </c>
      <c r="J340" s="3" t="s">
        <v>48</v>
      </c>
      <c r="K340" s="2">
        <v>125</v>
      </c>
      <c r="L340" s="2">
        <v>479</v>
      </c>
      <c r="M340">
        <f t="shared" ca="1" si="5"/>
        <v>0.85829456443199781</v>
      </c>
    </row>
    <row r="341" spans="1:13" x14ac:dyDescent="0.4">
      <c r="A341" t="s">
        <v>714</v>
      </c>
      <c r="B341" t="s">
        <v>715</v>
      </c>
      <c r="C341" t="s">
        <v>61</v>
      </c>
      <c r="D341" s="2">
        <v>37</v>
      </c>
      <c r="E341" s="2">
        <v>57</v>
      </c>
      <c r="F341" s="3">
        <v>0.71399999999999997</v>
      </c>
      <c r="G341" s="3">
        <v>7.4300000000000005E-2</v>
      </c>
      <c r="H341" s="3">
        <v>0.10100000000000001</v>
      </c>
      <c r="I341" s="4">
        <v>9.3800000000000003E-5</v>
      </c>
      <c r="J341" s="3" t="s">
        <v>48</v>
      </c>
      <c r="K341" s="2">
        <v>108</v>
      </c>
      <c r="L341" s="2">
        <v>222</v>
      </c>
      <c r="M341">
        <f t="shared" ca="1" si="5"/>
        <v>0.13447256690778564</v>
      </c>
    </row>
    <row r="342" spans="1:13" x14ac:dyDescent="0.4">
      <c r="A342" t="s">
        <v>716</v>
      </c>
      <c r="B342" t="s">
        <v>717</v>
      </c>
      <c r="C342" t="s">
        <v>56</v>
      </c>
      <c r="D342" s="2">
        <v>4</v>
      </c>
      <c r="E342" s="2">
        <v>2</v>
      </c>
      <c r="F342" s="3">
        <v>0.623</v>
      </c>
      <c r="G342" s="3">
        <v>0.109</v>
      </c>
      <c r="H342" s="3">
        <v>7.3200000000000001E-3</v>
      </c>
      <c r="I342" s="3">
        <v>0.16</v>
      </c>
      <c r="J342" s="3" t="s">
        <v>48</v>
      </c>
      <c r="K342" s="2">
        <v>126</v>
      </c>
      <c r="L342" s="2">
        <v>192</v>
      </c>
      <c r="M342">
        <f t="shared" ca="1" si="5"/>
        <v>0.24905020613527684</v>
      </c>
    </row>
    <row r="343" spans="1:13" x14ac:dyDescent="0.4">
      <c r="A343" t="s">
        <v>718</v>
      </c>
      <c r="B343" t="s">
        <v>719</v>
      </c>
      <c r="C343" t="s">
        <v>56</v>
      </c>
      <c r="D343" s="2">
        <v>2</v>
      </c>
      <c r="E343" s="2">
        <v>15</v>
      </c>
      <c r="F343" s="3">
        <v>0.76200000000000001</v>
      </c>
      <c r="G343" s="3">
        <v>0.26100000000000001</v>
      </c>
      <c r="H343" s="3">
        <v>1.67E-3</v>
      </c>
      <c r="I343" s="3">
        <v>0.93899999999999995</v>
      </c>
      <c r="J343" s="3" t="s">
        <v>48</v>
      </c>
      <c r="K343" s="2">
        <v>127</v>
      </c>
      <c r="L343" s="2">
        <v>140</v>
      </c>
      <c r="M343">
        <f t="shared" ca="1" si="5"/>
        <v>0.43206607335139868</v>
      </c>
    </row>
    <row r="344" spans="1:13" x14ac:dyDescent="0.4">
      <c r="A344" t="s">
        <v>720</v>
      </c>
      <c r="B344" t="s">
        <v>721</v>
      </c>
      <c r="C344" t="s">
        <v>53</v>
      </c>
      <c r="D344" s="2">
        <v>7</v>
      </c>
      <c r="E344" s="2">
        <v>51</v>
      </c>
      <c r="F344" s="3">
        <v>0.80600000000000005</v>
      </c>
      <c r="G344" s="3">
        <v>2.87E-2</v>
      </c>
      <c r="H344" s="3">
        <v>4.6600000000000003E-2</v>
      </c>
      <c r="I344" s="3">
        <v>1.6899999999999998E-2</v>
      </c>
      <c r="J344" s="3" t="s">
        <v>48</v>
      </c>
      <c r="K344" s="2">
        <v>120</v>
      </c>
      <c r="L344" s="2">
        <v>176</v>
      </c>
      <c r="M344">
        <f t="shared" ca="1" si="5"/>
        <v>8.0267273889726432E-2</v>
      </c>
    </row>
    <row r="345" spans="1:13" x14ac:dyDescent="0.4">
      <c r="A345" t="s">
        <v>722</v>
      </c>
      <c r="B345" t="s">
        <v>723</v>
      </c>
      <c r="C345" t="s">
        <v>61</v>
      </c>
      <c r="D345" s="2">
        <v>23</v>
      </c>
      <c r="E345" s="2">
        <v>63</v>
      </c>
      <c r="F345" s="3">
        <v>0.42599999999999999</v>
      </c>
      <c r="G345" s="3">
        <v>9.5399999999999999E-2</v>
      </c>
      <c r="H345" s="3">
        <v>1.6999999999999999E-3</v>
      </c>
      <c r="I345" s="3">
        <v>0</v>
      </c>
      <c r="J345" s="3" t="s">
        <v>48</v>
      </c>
      <c r="K345" s="2">
        <v>111</v>
      </c>
      <c r="L345" s="2">
        <v>165</v>
      </c>
      <c r="M345">
        <f t="shared" ca="1" si="5"/>
        <v>0.51134748329668323</v>
      </c>
    </row>
    <row r="346" spans="1:13" x14ac:dyDescent="0.4">
      <c r="A346" t="s">
        <v>724</v>
      </c>
      <c r="B346" t="s">
        <v>725</v>
      </c>
      <c r="C346" t="s">
        <v>47</v>
      </c>
      <c r="D346" s="2">
        <v>1</v>
      </c>
      <c r="E346" s="2">
        <v>45</v>
      </c>
      <c r="F346" s="3">
        <v>0.56999999999999995</v>
      </c>
      <c r="G346" s="3">
        <v>2.93E-2</v>
      </c>
      <c r="H346" s="3">
        <v>0.23699999999999999</v>
      </c>
      <c r="I346" s="3">
        <v>1.1199999999999999E-3</v>
      </c>
      <c r="J346" s="3" t="s">
        <v>67</v>
      </c>
      <c r="K346" s="2">
        <v>121</v>
      </c>
      <c r="L346" s="2">
        <v>246</v>
      </c>
      <c r="M346">
        <f t="shared" ca="1" si="5"/>
        <v>0.15027121074234573</v>
      </c>
    </row>
    <row r="347" spans="1:13" x14ac:dyDescent="0.4">
      <c r="A347" t="s">
        <v>726</v>
      </c>
      <c r="B347" t="s">
        <v>460</v>
      </c>
      <c r="C347" t="s">
        <v>66</v>
      </c>
      <c r="D347" s="2">
        <v>2</v>
      </c>
      <c r="E347" s="2">
        <v>6</v>
      </c>
      <c r="F347" s="3">
        <v>0.41299999999999998</v>
      </c>
      <c r="G347" s="3">
        <v>0.21299999999999999</v>
      </c>
      <c r="H347" s="3">
        <v>2.3900000000000001E-2</v>
      </c>
      <c r="I347" s="3">
        <v>0</v>
      </c>
      <c r="J347" s="3" t="s">
        <v>48</v>
      </c>
      <c r="K347" s="2">
        <v>173</v>
      </c>
      <c r="L347" s="2">
        <v>302</v>
      </c>
      <c r="M347">
        <f t="shared" ca="1" si="5"/>
        <v>0.96292216514236229</v>
      </c>
    </row>
    <row r="348" spans="1:13" x14ac:dyDescent="0.4">
      <c r="A348" t="s">
        <v>727</v>
      </c>
      <c r="B348" t="s">
        <v>728</v>
      </c>
      <c r="C348" t="s">
        <v>47</v>
      </c>
      <c r="D348" s="2">
        <v>1</v>
      </c>
      <c r="E348" s="2">
        <v>34</v>
      </c>
      <c r="F348" s="3">
        <v>0.91700000000000004</v>
      </c>
      <c r="G348" s="3">
        <v>4.8300000000000003E-2</v>
      </c>
      <c r="H348" s="3">
        <v>0.29599999999999999</v>
      </c>
      <c r="I348" s="3">
        <v>1.5900000000000001E-3</v>
      </c>
      <c r="J348" s="3" t="s">
        <v>48</v>
      </c>
      <c r="K348" s="2">
        <v>120</v>
      </c>
      <c r="L348" s="2">
        <v>241</v>
      </c>
      <c r="M348">
        <f t="shared" ca="1" si="5"/>
        <v>0.46085799666687377</v>
      </c>
    </row>
    <row r="349" spans="1:13" x14ac:dyDescent="0.4">
      <c r="A349" t="s">
        <v>729</v>
      </c>
      <c r="B349" t="s">
        <v>730</v>
      </c>
      <c r="C349" t="s">
        <v>61</v>
      </c>
      <c r="D349" s="2">
        <v>1</v>
      </c>
      <c r="E349" s="2">
        <v>64</v>
      </c>
      <c r="F349" s="3">
        <v>0.56599999999999995</v>
      </c>
      <c r="G349" s="3">
        <v>9.0200000000000002E-2</v>
      </c>
      <c r="H349" s="4">
        <v>3.48E-4</v>
      </c>
      <c r="I349" s="3">
        <v>0</v>
      </c>
      <c r="J349" s="3" t="s">
        <v>48</v>
      </c>
      <c r="K349" s="2">
        <v>130</v>
      </c>
      <c r="L349" s="2">
        <v>222</v>
      </c>
      <c r="M349">
        <f t="shared" ca="1" si="5"/>
        <v>0.12599871701836818</v>
      </c>
    </row>
    <row r="350" spans="1:13" x14ac:dyDescent="0.4">
      <c r="A350" t="s">
        <v>731</v>
      </c>
      <c r="B350" t="s">
        <v>732</v>
      </c>
      <c r="C350" t="s">
        <v>61</v>
      </c>
      <c r="D350" s="2">
        <v>45</v>
      </c>
      <c r="E350" s="2">
        <v>59</v>
      </c>
      <c r="F350" s="3">
        <v>0.48599999999999999</v>
      </c>
      <c r="G350" s="3">
        <v>3.4099999999999998E-2</v>
      </c>
      <c r="H350" s="3">
        <v>0.44500000000000001</v>
      </c>
      <c r="I350" s="4">
        <v>1.4399999999999999E-5</v>
      </c>
      <c r="J350" s="3" t="s">
        <v>67</v>
      </c>
      <c r="K350" s="2">
        <v>82</v>
      </c>
      <c r="L350" s="2">
        <v>282</v>
      </c>
      <c r="M350">
        <f t="shared" ca="1" si="5"/>
        <v>0.26797716248171832</v>
      </c>
    </row>
    <row r="351" spans="1:13" x14ac:dyDescent="0.4">
      <c r="A351" t="s">
        <v>733</v>
      </c>
      <c r="B351" t="s">
        <v>79</v>
      </c>
      <c r="C351" t="s">
        <v>47</v>
      </c>
      <c r="D351" s="2">
        <v>7</v>
      </c>
      <c r="E351" s="2">
        <v>25</v>
      </c>
      <c r="F351" s="3">
        <v>0.53200000000000003</v>
      </c>
      <c r="G351" s="3">
        <v>5.2299999999999999E-2</v>
      </c>
      <c r="H351" s="3">
        <v>3.8E-3</v>
      </c>
      <c r="I351" s="3">
        <v>1.1999999999999999E-3</v>
      </c>
      <c r="J351" s="3" t="s">
        <v>48</v>
      </c>
      <c r="K351" s="2">
        <v>124</v>
      </c>
      <c r="L351" s="2">
        <v>247</v>
      </c>
      <c r="M351">
        <f t="shared" ca="1" si="5"/>
        <v>0.52419170813700477</v>
      </c>
    </row>
    <row r="352" spans="1:13" x14ac:dyDescent="0.4">
      <c r="A352" t="s">
        <v>734</v>
      </c>
      <c r="B352" t="s">
        <v>735</v>
      </c>
      <c r="C352" t="s">
        <v>61</v>
      </c>
      <c r="D352" s="2">
        <v>35</v>
      </c>
      <c r="E352" s="2">
        <v>57</v>
      </c>
      <c r="F352" s="3">
        <v>0.64700000000000002</v>
      </c>
      <c r="G352" s="3">
        <v>4.5400000000000003E-2</v>
      </c>
      <c r="H352" s="3">
        <v>2.24E-2</v>
      </c>
      <c r="I352" s="3">
        <v>0</v>
      </c>
      <c r="J352" s="3" t="s">
        <v>48</v>
      </c>
      <c r="K352" s="2">
        <v>118</v>
      </c>
      <c r="L352" s="2">
        <v>234</v>
      </c>
      <c r="M352">
        <f t="shared" ca="1" si="5"/>
        <v>1.6548912138926952E-2</v>
      </c>
    </row>
    <row r="353" spans="1:13" x14ac:dyDescent="0.4">
      <c r="A353" t="s">
        <v>736</v>
      </c>
      <c r="B353" t="s">
        <v>697</v>
      </c>
      <c r="C353" t="s">
        <v>56</v>
      </c>
      <c r="D353" s="2">
        <v>1</v>
      </c>
      <c r="E353" s="2">
        <v>49</v>
      </c>
      <c r="F353" s="3">
        <v>0.625</v>
      </c>
      <c r="G353" s="3">
        <v>5.0099999999999999E-2</v>
      </c>
      <c r="H353" s="4">
        <v>3.2000000000000003E-4</v>
      </c>
      <c r="I353" s="3">
        <v>4.6100000000000002E-2</v>
      </c>
      <c r="J353" s="3" t="s">
        <v>48</v>
      </c>
      <c r="K353" s="2">
        <v>125</v>
      </c>
      <c r="L353" s="2">
        <v>173</v>
      </c>
      <c r="M353">
        <f t="shared" ca="1" si="5"/>
        <v>0.48005263802990972</v>
      </c>
    </row>
    <row r="354" spans="1:13" x14ac:dyDescent="0.4">
      <c r="A354" t="s">
        <v>737</v>
      </c>
      <c r="B354" t="s">
        <v>738</v>
      </c>
      <c r="C354" t="s">
        <v>61</v>
      </c>
      <c r="D354" s="2">
        <v>34</v>
      </c>
      <c r="E354" s="2">
        <v>48</v>
      </c>
      <c r="F354" s="3">
        <v>0.27</v>
      </c>
      <c r="G354" s="3">
        <v>3.2899999999999999E-2</v>
      </c>
      <c r="H354" s="3">
        <v>6.7900000000000002E-2</v>
      </c>
      <c r="I354" s="3">
        <v>2.2499999999999998E-3</v>
      </c>
      <c r="J354" s="3" t="s">
        <v>48</v>
      </c>
      <c r="K354" s="2">
        <v>195</v>
      </c>
      <c r="L354" s="2">
        <v>218</v>
      </c>
      <c r="M354">
        <f t="shared" ca="1" si="5"/>
        <v>0.63289916616078123</v>
      </c>
    </row>
    <row r="355" spans="1:13" x14ac:dyDescent="0.4">
      <c r="A355" t="s">
        <v>739</v>
      </c>
      <c r="B355" t="s">
        <v>740</v>
      </c>
      <c r="C355" t="s">
        <v>61</v>
      </c>
      <c r="D355" s="2">
        <v>14</v>
      </c>
      <c r="E355" s="2">
        <v>57</v>
      </c>
      <c r="F355" s="3">
        <v>0.42599999999999999</v>
      </c>
      <c r="G355" s="3">
        <v>3.7699999999999997E-2</v>
      </c>
      <c r="H355" s="3">
        <v>2.5100000000000001E-2</v>
      </c>
      <c r="I355" s="3">
        <v>6.4999999999999997E-3</v>
      </c>
      <c r="J355" s="3" t="s">
        <v>48</v>
      </c>
      <c r="K355" s="2">
        <v>127</v>
      </c>
      <c r="L355" s="2">
        <v>220</v>
      </c>
      <c r="M355">
        <f t="shared" ca="1" si="5"/>
        <v>3.5243373648077836E-2</v>
      </c>
    </row>
    <row r="356" spans="1:13" x14ac:dyDescent="0.4">
      <c r="A356" t="s">
        <v>741</v>
      </c>
      <c r="B356" t="s">
        <v>742</v>
      </c>
      <c r="C356" t="s">
        <v>84</v>
      </c>
      <c r="D356" s="2">
        <v>18</v>
      </c>
      <c r="E356" s="2">
        <v>53</v>
      </c>
      <c r="F356" s="3">
        <v>0.92</v>
      </c>
      <c r="G356" s="3">
        <v>0.11700000000000001</v>
      </c>
      <c r="H356" s="3">
        <v>0.159</v>
      </c>
      <c r="I356" s="3">
        <v>2.5999999999999999E-3</v>
      </c>
      <c r="J356" s="3" t="s">
        <v>48</v>
      </c>
      <c r="K356" s="2">
        <v>97</v>
      </c>
      <c r="L356" s="2">
        <v>228</v>
      </c>
      <c r="M356">
        <f t="shared" ca="1" si="5"/>
        <v>9.9557450783146373E-2</v>
      </c>
    </row>
    <row r="357" spans="1:13" x14ac:dyDescent="0.4">
      <c r="A357" t="s">
        <v>743</v>
      </c>
      <c r="B357" t="s">
        <v>744</v>
      </c>
      <c r="C357" t="s">
        <v>53</v>
      </c>
      <c r="D357" s="2">
        <v>1</v>
      </c>
      <c r="E357" s="2">
        <v>55</v>
      </c>
      <c r="F357" s="3">
        <v>0.72799999999999998</v>
      </c>
      <c r="G357" s="3">
        <v>4.2900000000000001E-2</v>
      </c>
      <c r="H357" s="3">
        <v>0.38500000000000001</v>
      </c>
      <c r="I357" s="4">
        <v>1.0899999999999999E-6</v>
      </c>
      <c r="J357" s="3" t="s">
        <v>48</v>
      </c>
      <c r="K357" s="2">
        <v>100</v>
      </c>
      <c r="L357" s="2">
        <v>275</v>
      </c>
      <c r="M357">
        <f t="shared" ca="1" si="5"/>
        <v>0.95444230323645363</v>
      </c>
    </row>
    <row r="358" spans="1:13" x14ac:dyDescent="0.4">
      <c r="A358" t="s">
        <v>745</v>
      </c>
      <c r="B358" t="s">
        <v>746</v>
      </c>
      <c r="C358" t="s">
        <v>66</v>
      </c>
      <c r="D358" s="2">
        <v>12</v>
      </c>
      <c r="E358" s="2">
        <v>3</v>
      </c>
      <c r="F358" s="3">
        <v>0.89400000000000002</v>
      </c>
      <c r="G358" s="3">
        <v>0.375</v>
      </c>
      <c r="H358" s="3">
        <v>0.155</v>
      </c>
      <c r="I358" s="3">
        <v>0</v>
      </c>
      <c r="J358" s="3" t="s">
        <v>48</v>
      </c>
      <c r="K358" s="2">
        <v>90</v>
      </c>
      <c r="L358" s="2">
        <v>321</v>
      </c>
      <c r="M358">
        <f t="shared" ca="1" si="5"/>
        <v>0.50951572570909232</v>
      </c>
    </row>
    <row r="359" spans="1:13" x14ac:dyDescent="0.4">
      <c r="A359" t="s">
        <v>747</v>
      </c>
      <c r="B359" t="s">
        <v>616</v>
      </c>
      <c r="C359" t="s">
        <v>47</v>
      </c>
      <c r="D359" s="2">
        <v>11</v>
      </c>
      <c r="E359" s="2">
        <v>50</v>
      </c>
      <c r="F359" s="3">
        <v>0.56999999999999995</v>
      </c>
      <c r="G359" s="3">
        <v>7.6300000000000007E-2</v>
      </c>
      <c r="H359" s="3">
        <v>1.8200000000000001E-2</v>
      </c>
      <c r="I359" s="3">
        <v>0</v>
      </c>
      <c r="J359" s="3" t="s">
        <v>48</v>
      </c>
      <c r="K359" s="2">
        <v>129</v>
      </c>
      <c r="L359" s="2">
        <v>224</v>
      </c>
      <c r="M359">
        <f t="shared" ca="1" si="5"/>
        <v>0.78324263488102652</v>
      </c>
    </row>
    <row r="360" spans="1:13" x14ac:dyDescent="0.4">
      <c r="A360" t="s">
        <v>748</v>
      </c>
      <c r="B360" t="s">
        <v>749</v>
      </c>
      <c r="C360" t="s">
        <v>84</v>
      </c>
      <c r="D360" s="2">
        <v>1</v>
      </c>
      <c r="E360" s="2">
        <v>42</v>
      </c>
      <c r="F360" s="3">
        <v>0.76400000000000001</v>
      </c>
      <c r="G360" s="3">
        <v>5.8700000000000002E-2</v>
      </c>
      <c r="H360" s="3">
        <v>0.126</v>
      </c>
      <c r="I360" s="3">
        <v>0.124</v>
      </c>
      <c r="J360" s="3" t="s">
        <v>48</v>
      </c>
      <c r="K360" s="2">
        <v>116</v>
      </c>
      <c r="L360" s="2">
        <v>236</v>
      </c>
      <c r="M360">
        <f t="shared" ca="1" si="5"/>
        <v>0.86474363200704862</v>
      </c>
    </row>
    <row r="361" spans="1:13" x14ac:dyDescent="0.4">
      <c r="A361" t="s">
        <v>750</v>
      </c>
      <c r="B361" t="s">
        <v>751</v>
      </c>
      <c r="C361" t="s">
        <v>56</v>
      </c>
      <c r="D361" s="2">
        <v>5</v>
      </c>
      <c r="E361" s="2">
        <v>44</v>
      </c>
      <c r="F361" s="3">
        <v>0.5</v>
      </c>
      <c r="G361" s="3">
        <v>0.32200000000000001</v>
      </c>
      <c r="H361" s="3">
        <v>1.06E-3</v>
      </c>
      <c r="I361" s="4">
        <v>1.15E-4</v>
      </c>
      <c r="J361" s="3" t="s">
        <v>48</v>
      </c>
      <c r="K361" s="2">
        <v>128</v>
      </c>
      <c r="L361" s="2">
        <v>211</v>
      </c>
      <c r="M361">
        <f t="shared" ca="1" si="5"/>
        <v>0.52768371145704784</v>
      </c>
    </row>
    <row r="362" spans="1:13" x14ac:dyDescent="0.4">
      <c r="A362" t="s">
        <v>752</v>
      </c>
      <c r="B362" t="s">
        <v>753</v>
      </c>
      <c r="C362" t="s">
        <v>53</v>
      </c>
      <c r="D362" s="2">
        <v>1</v>
      </c>
      <c r="E362" s="2">
        <v>49</v>
      </c>
      <c r="F362" s="3">
        <v>0.65900000000000003</v>
      </c>
      <c r="G362" s="3">
        <v>5.3699999999999998E-2</v>
      </c>
      <c r="H362" s="3">
        <v>0.749</v>
      </c>
      <c r="I362" s="3">
        <v>0.91100000000000003</v>
      </c>
      <c r="J362" s="3" t="s">
        <v>67</v>
      </c>
      <c r="K362" s="2">
        <v>86</v>
      </c>
      <c r="L362" s="2">
        <v>216</v>
      </c>
      <c r="M362">
        <f t="shared" ca="1" si="5"/>
        <v>7.5742283348353201E-2</v>
      </c>
    </row>
    <row r="363" spans="1:13" x14ac:dyDescent="0.4">
      <c r="A363" t="s">
        <v>754</v>
      </c>
      <c r="B363" t="s">
        <v>755</v>
      </c>
      <c r="C363" t="s">
        <v>66</v>
      </c>
      <c r="D363" s="2">
        <v>18</v>
      </c>
      <c r="E363" s="2">
        <v>1</v>
      </c>
      <c r="F363" s="3">
        <v>0.747</v>
      </c>
      <c r="G363" s="3">
        <v>7.4300000000000005E-2</v>
      </c>
      <c r="H363" s="3">
        <v>0.21099999999999999</v>
      </c>
      <c r="I363" s="4">
        <v>1.42E-6</v>
      </c>
      <c r="J363" s="3" t="s">
        <v>67</v>
      </c>
      <c r="K363" s="2">
        <v>118</v>
      </c>
      <c r="L363" s="2">
        <v>268</v>
      </c>
      <c r="M363">
        <f t="shared" ca="1" si="5"/>
        <v>0.17352106598494188</v>
      </c>
    </row>
    <row r="364" spans="1:13" x14ac:dyDescent="0.4">
      <c r="A364" t="s">
        <v>756</v>
      </c>
      <c r="B364" t="s">
        <v>757</v>
      </c>
      <c r="C364" t="s">
        <v>47</v>
      </c>
      <c r="D364" s="2">
        <v>1</v>
      </c>
      <c r="E364" s="2">
        <v>58</v>
      </c>
      <c r="F364" s="3">
        <v>0.82099999999999995</v>
      </c>
      <c r="G364" s="3">
        <v>4.6800000000000001E-2</v>
      </c>
      <c r="H364" s="3">
        <v>0.29599999999999999</v>
      </c>
      <c r="I364" s="4">
        <v>3.2600000000000001E-6</v>
      </c>
      <c r="J364" s="3" t="s">
        <v>67</v>
      </c>
      <c r="K364" s="2">
        <v>105</v>
      </c>
      <c r="L364" s="2">
        <v>170</v>
      </c>
      <c r="M364">
        <f t="shared" ca="1" si="5"/>
        <v>0.74776880170191062</v>
      </c>
    </row>
    <row r="365" spans="1:13" x14ac:dyDescent="0.4">
      <c r="A365" t="s">
        <v>758</v>
      </c>
      <c r="B365" t="s">
        <v>759</v>
      </c>
      <c r="C365" t="s">
        <v>53</v>
      </c>
      <c r="D365" s="2">
        <v>1</v>
      </c>
      <c r="E365" s="2">
        <v>34</v>
      </c>
      <c r="F365" s="3">
        <v>0.61</v>
      </c>
      <c r="G365" s="3">
        <v>9.01E-2</v>
      </c>
      <c r="H365" s="3">
        <v>7.7499999999999999E-2</v>
      </c>
      <c r="I365" s="4">
        <v>1.15E-4</v>
      </c>
      <c r="J365" s="3" t="s">
        <v>48</v>
      </c>
      <c r="K365" s="2">
        <v>160</v>
      </c>
      <c r="L365" s="2">
        <v>183</v>
      </c>
      <c r="M365">
        <f t="shared" ca="1" si="5"/>
        <v>0.30990302499596578</v>
      </c>
    </row>
    <row r="366" spans="1:13" x14ac:dyDescent="0.4">
      <c r="A366" t="s">
        <v>760</v>
      </c>
      <c r="B366" t="s">
        <v>761</v>
      </c>
      <c r="C366" t="s">
        <v>53</v>
      </c>
      <c r="D366" s="2">
        <v>6</v>
      </c>
      <c r="E366" s="2">
        <v>52</v>
      </c>
      <c r="F366" s="3">
        <v>0.68600000000000005</v>
      </c>
      <c r="G366" s="3">
        <v>3.4299999999999997E-2</v>
      </c>
      <c r="H366" s="3">
        <v>0.64900000000000002</v>
      </c>
      <c r="I366" s="3">
        <v>5.6899999999999999E-2</v>
      </c>
      <c r="J366" s="3" t="s">
        <v>48</v>
      </c>
      <c r="K366" s="2">
        <v>125</v>
      </c>
      <c r="L366" s="2">
        <v>202</v>
      </c>
      <c r="M366">
        <f t="shared" ca="1" si="5"/>
        <v>0.49120280602491018</v>
      </c>
    </row>
    <row r="367" spans="1:13" x14ac:dyDescent="0.4">
      <c r="A367" t="s">
        <v>762</v>
      </c>
      <c r="B367" t="s">
        <v>763</v>
      </c>
      <c r="C367" t="s">
        <v>84</v>
      </c>
      <c r="D367" s="2">
        <v>1</v>
      </c>
      <c r="E367" s="2">
        <v>44</v>
      </c>
      <c r="F367" s="3">
        <v>0.74</v>
      </c>
      <c r="G367" s="3">
        <v>0.17699999999999999</v>
      </c>
      <c r="H367" s="3">
        <v>0.76200000000000001</v>
      </c>
      <c r="I367" s="3">
        <v>0</v>
      </c>
      <c r="J367" s="3" t="s">
        <v>48</v>
      </c>
      <c r="K367" s="2">
        <v>120</v>
      </c>
      <c r="L367" s="2">
        <v>210</v>
      </c>
      <c r="M367">
        <f t="shared" ca="1" si="5"/>
        <v>8.4218153279553842E-2</v>
      </c>
    </row>
    <row r="368" spans="1:13" x14ac:dyDescent="0.4">
      <c r="A368" t="s">
        <v>764</v>
      </c>
      <c r="B368" t="s">
        <v>434</v>
      </c>
      <c r="C368" t="s">
        <v>53</v>
      </c>
      <c r="D368" s="2">
        <v>3</v>
      </c>
      <c r="E368" s="2">
        <v>11</v>
      </c>
      <c r="F368" s="3">
        <v>0.71899999999999997</v>
      </c>
      <c r="G368" s="3">
        <v>3.2599999999999997E-2</v>
      </c>
      <c r="H368" s="3">
        <v>0.28299999999999997</v>
      </c>
      <c r="I368" s="4">
        <v>4.42E-6</v>
      </c>
      <c r="J368" s="3" t="s">
        <v>48</v>
      </c>
      <c r="K368" s="2">
        <v>120</v>
      </c>
      <c r="L368" s="2">
        <v>158</v>
      </c>
      <c r="M368">
        <f t="shared" ca="1" si="5"/>
        <v>0.26444207727321412</v>
      </c>
    </row>
    <row r="369" spans="1:13" x14ac:dyDescent="0.4">
      <c r="A369" t="s">
        <v>765</v>
      </c>
      <c r="B369" t="s">
        <v>636</v>
      </c>
      <c r="C369" t="s">
        <v>56</v>
      </c>
      <c r="D369" s="2">
        <v>4</v>
      </c>
      <c r="E369" s="2">
        <v>22</v>
      </c>
      <c r="F369" s="3">
        <v>0.68</v>
      </c>
      <c r="G369" s="3">
        <v>3.9E-2</v>
      </c>
      <c r="H369" s="3">
        <v>1.09E-3</v>
      </c>
      <c r="I369" s="3">
        <v>0.78500000000000003</v>
      </c>
      <c r="J369" s="3" t="s">
        <v>48</v>
      </c>
      <c r="K369" s="2">
        <v>122</v>
      </c>
      <c r="L369" s="2">
        <v>183</v>
      </c>
      <c r="M369">
        <f t="shared" ca="1" si="5"/>
        <v>8.1701697146312591E-2</v>
      </c>
    </row>
    <row r="370" spans="1:13" x14ac:dyDescent="0.4">
      <c r="A370" t="s">
        <v>766</v>
      </c>
      <c r="B370" t="s">
        <v>767</v>
      </c>
      <c r="C370" t="s">
        <v>66</v>
      </c>
      <c r="D370" s="2">
        <v>1</v>
      </c>
      <c r="E370" s="2">
        <v>56</v>
      </c>
      <c r="F370" s="3">
        <v>0.53400000000000003</v>
      </c>
      <c r="G370" s="3">
        <v>0.24099999999999999</v>
      </c>
      <c r="H370" s="3">
        <v>0.30199999999999999</v>
      </c>
      <c r="I370" s="3">
        <v>0</v>
      </c>
      <c r="J370" s="3" t="s">
        <v>67</v>
      </c>
      <c r="K370" s="2">
        <v>148</v>
      </c>
      <c r="L370" s="2">
        <v>237</v>
      </c>
      <c r="M370">
        <f t="shared" ca="1" si="5"/>
        <v>0.31312835021348207</v>
      </c>
    </row>
    <row r="371" spans="1:13" x14ac:dyDescent="0.4">
      <c r="A371" t="s">
        <v>768</v>
      </c>
      <c r="B371" t="s">
        <v>769</v>
      </c>
      <c r="C371" t="s">
        <v>56</v>
      </c>
      <c r="D371" s="2">
        <v>1</v>
      </c>
      <c r="E371" s="2">
        <v>57</v>
      </c>
      <c r="F371" s="3">
        <v>0.69799999999999995</v>
      </c>
      <c r="G371" s="3">
        <v>4.0300000000000002E-2</v>
      </c>
      <c r="H371" s="3">
        <v>2.06E-2</v>
      </c>
      <c r="I371" s="3">
        <v>0.56000000000000005</v>
      </c>
      <c r="J371" s="3" t="s">
        <v>48</v>
      </c>
      <c r="K371" s="2">
        <v>120</v>
      </c>
      <c r="L371" s="2">
        <v>228</v>
      </c>
      <c r="M371">
        <f t="shared" ca="1" si="5"/>
        <v>0.85433490192259975</v>
      </c>
    </row>
    <row r="372" spans="1:13" x14ac:dyDescent="0.4">
      <c r="A372" t="s">
        <v>770</v>
      </c>
      <c r="B372" t="s">
        <v>771</v>
      </c>
      <c r="C372" t="s">
        <v>56</v>
      </c>
      <c r="D372" s="2">
        <v>3</v>
      </c>
      <c r="E372" s="2">
        <v>19</v>
      </c>
      <c r="F372" s="3">
        <v>0.67300000000000004</v>
      </c>
      <c r="G372" s="3">
        <v>8.8200000000000001E-2</v>
      </c>
      <c r="H372" s="3">
        <v>6.7400000000000002E-2</v>
      </c>
      <c r="I372" s="3">
        <v>0</v>
      </c>
      <c r="J372" s="3" t="s">
        <v>48</v>
      </c>
      <c r="K372" s="2">
        <v>126</v>
      </c>
      <c r="L372" s="2">
        <v>285</v>
      </c>
      <c r="M372">
        <f t="shared" ca="1" si="5"/>
        <v>0.7607070774441832</v>
      </c>
    </row>
    <row r="373" spans="1:13" x14ac:dyDescent="0.4">
      <c r="A373" t="s">
        <v>772</v>
      </c>
      <c r="B373" t="s">
        <v>773</v>
      </c>
      <c r="C373" t="s">
        <v>66</v>
      </c>
      <c r="D373" s="2">
        <v>10</v>
      </c>
      <c r="E373" s="2">
        <v>31</v>
      </c>
      <c r="F373" s="3">
        <v>0.69299999999999995</v>
      </c>
      <c r="G373" s="3">
        <v>2.9000000000000001E-2</v>
      </c>
      <c r="H373" s="3">
        <v>0.115</v>
      </c>
      <c r="I373" s="3">
        <v>0</v>
      </c>
      <c r="J373" s="3" t="s">
        <v>67</v>
      </c>
      <c r="K373" s="2">
        <v>138</v>
      </c>
      <c r="L373" s="2">
        <v>214</v>
      </c>
      <c r="M373">
        <f t="shared" ca="1" si="5"/>
        <v>0.54532778991124931</v>
      </c>
    </row>
    <row r="374" spans="1:13" x14ac:dyDescent="0.4">
      <c r="A374" t="s">
        <v>774</v>
      </c>
      <c r="B374" t="s">
        <v>264</v>
      </c>
      <c r="C374" t="s">
        <v>66</v>
      </c>
      <c r="D374" s="2">
        <v>38</v>
      </c>
      <c r="E374" s="2">
        <v>49</v>
      </c>
      <c r="F374" s="3">
        <v>0.92</v>
      </c>
      <c r="G374" s="3">
        <v>5.4899999999999997E-2</v>
      </c>
      <c r="H374" s="3">
        <v>5.8599999999999999E-2</v>
      </c>
      <c r="I374" s="4">
        <v>4.3399999999999998E-4</v>
      </c>
      <c r="J374" s="3" t="s">
        <v>67</v>
      </c>
      <c r="K374" s="2">
        <v>100</v>
      </c>
      <c r="L374" s="2">
        <v>241</v>
      </c>
      <c r="M374">
        <f t="shared" ca="1" si="5"/>
        <v>0.76893859368080963</v>
      </c>
    </row>
    <row r="375" spans="1:13" x14ac:dyDescent="0.4">
      <c r="A375" t="s">
        <v>775</v>
      </c>
      <c r="B375" t="s">
        <v>776</v>
      </c>
      <c r="C375" t="s">
        <v>66</v>
      </c>
      <c r="D375" s="2">
        <v>51</v>
      </c>
      <c r="E375" s="2">
        <v>62</v>
      </c>
      <c r="F375" s="3">
        <v>0.51300000000000001</v>
      </c>
      <c r="G375" s="3">
        <v>5.74E-2</v>
      </c>
      <c r="H375" s="3">
        <v>0.55500000000000005</v>
      </c>
      <c r="I375" s="4">
        <v>3.4799999999999999E-5</v>
      </c>
      <c r="J375" s="3" t="s">
        <v>48</v>
      </c>
      <c r="K375" s="2">
        <v>95</v>
      </c>
      <c r="L375" s="2">
        <v>177</v>
      </c>
      <c r="M375">
        <f t="shared" ca="1" si="5"/>
        <v>0.84837626909440023</v>
      </c>
    </row>
    <row r="376" spans="1:13" x14ac:dyDescent="0.4">
      <c r="A376" t="s">
        <v>777</v>
      </c>
      <c r="B376" t="s">
        <v>778</v>
      </c>
      <c r="C376" t="s">
        <v>84</v>
      </c>
      <c r="D376" s="2">
        <v>9</v>
      </c>
      <c r="E376" s="2">
        <v>14</v>
      </c>
      <c r="F376" s="3">
        <v>0.72399999999999998</v>
      </c>
      <c r="G376" s="3">
        <v>0.188</v>
      </c>
      <c r="H376" s="3">
        <v>0.42599999999999999</v>
      </c>
      <c r="I376" s="3">
        <v>0</v>
      </c>
      <c r="J376" s="3" t="s">
        <v>48</v>
      </c>
      <c r="K376" s="2">
        <v>172</v>
      </c>
      <c r="L376" s="2">
        <v>227</v>
      </c>
      <c r="M376">
        <f t="shared" ca="1" si="5"/>
        <v>0.8747784962858024</v>
      </c>
    </row>
    <row r="377" spans="1:13" x14ac:dyDescent="0.4">
      <c r="A377" t="s">
        <v>779</v>
      </c>
      <c r="B377" t="s">
        <v>780</v>
      </c>
      <c r="C377" t="s">
        <v>53</v>
      </c>
      <c r="D377" s="2">
        <v>9</v>
      </c>
      <c r="E377" s="2">
        <v>71</v>
      </c>
      <c r="F377" s="3">
        <v>0.66900000000000004</v>
      </c>
      <c r="G377" s="3">
        <v>4.99E-2</v>
      </c>
      <c r="H377" s="3">
        <v>1.24E-2</v>
      </c>
      <c r="I377" s="3">
        <v>0</v>
      </c>
      <c r="J377" s="3" t="s">
        <v>48</v>
      </c>
      <c r="K377" s="2">
        <v>120</v>
      </c>
      <c r="L377" s="2">
        <v>227</v>
      </c>
      <c r="M377">
        <f t="shared" ca="1" si="5"/>
        <v>0.8237306514406677</v>
      </c>
    </row>
    <row r="378" spans="1:13" x14ac:dyDescent="0.4">
      <c r="A378" t="s">
        <v>781</v>
      </c>
      <c r="B378" t="s">
        <v>782</v>
      </c>
      <c r="C378" t="s">
        <v>84</v>
      </c>
      <c r="D378" s="2">
        <v>5</v>
      </c>
      <c r="E378" s="2">
        <v>6</v>
      </c>
      <c r="F378" s="3">
        <v>0.70499999999999996</v>
      </c>
      <c r="G378" s="3">
        <v>0.14299999999999999</v>
      </c>
      <c r="H378" s="3">
        <v>0.14099999999999999</v>
      </c>
      <c r="I378" s="3">
        <v>0</v>
      </c>
      <c r="J378" s="3" t="s">
        <v>48</v>
      </c>
      <c r="K378" s="2">
        <v>81</v>
      </c>
      <c r="L378" s="2">
        <v>278</v>
      </c>
      <c r="M378">
        <f t="shared" ca="1" si="5"/>
        <v>0.36818881656292113</v>
      </c>
    </row>
    <row r="379" spans="1:13" x14ac:dyDescent="0.4">
      <c r="A379" t="s">
        <v>783</v>
      </c>
      <c r="B379" t="s">
        <v>784</v>
      </c>
      <c r="C379" t="s">
        <v>53</v>
      </c>
      <c r="D379" s="2">
        <v>32</v>
      </c>
      <c r="E379" s="2">
        <v>37</v>
      </c>
      <c r="F379" s="3">
        <v>0.73899999999999999</v>
      </c>
      <c r="G379" s="3">
        <v>4.3499999999999997E-2</v>
      </c>
      <c r="H379" s="3">
        <v>3.5799999999999998E-3</v>
      </c>
      <c r="I379" s="3">
        <v>0.26400000000000001</v>
      </c>
      <c r="J379" s="3" t="s">
        <v>48</v>
      </c>
      <c r="K379" s="2">
        <v>122</v>
      </c>
      <c r="L379" s="2">
        <v>233</v>
      </c>
      <c r="M379">
        <f t="shared" ca="1" si="5"/>
        <v>3.8983238177117796E-2</v>
      </c>
    </row>
    <row r="380" spans="1:13" x14ac:dyDescent="0.4">
      <c r="A380" t="s">
        <v>785</v>
      </c>
      <c r="B380" t="s">
        <v>786</v>
      </c>
      <c r="C380" t="s">
        <v>56</v>
      </c>
      <c r="D380" s="2">
        <v>7</v>
      </c>
      <c r="E380" s="2">
        <v>50</v>
      </c>
      <c r="F380" s="3">
        <v>0.56000000000000005</v>
      </c>
      <c r="G380" s="3">
        <v>6.6600000000000006E-2</v>
      </c>
      <c r="H380" s="3">
        <v>1.4999999999999999E-2</v>
      </c>
      <c r="I380" s="3">
        <v>1.34E-2</v>
      </c>
      <c r="J380" s="3" t="s">
        <v>48</v>
      </c>
      <c r="K380" s="2">
        <v>128</v>
      </c>
      <c r="L380" s="2">
        <v>210</v>
      </c>
      <c r="M380">
        <f t="shared" ca="1" si="5"/>
        <v>0.90862163162399356</v>
      </c>
    </row>
    <row r="381" spans="1:13" x14ac:dyDescent="0.4">
      <c r="A381" t="s">
        <v>787</v>
      </c>
      <c r="B381" t="s">
        <v>788</v>
      </c>
      <c r="C381" t="s">
        <v>66</v>
      </c>
      <c r="D381" s="2">
        <v>28</v>
      </c>
      <c r="E381" s="2">
        <v>35</v>
      </c>
      <c r="F381" s="3">
        <v>0.69699999999999995</v>
      </c>
      <c r="G381" s="3">
        <v>7.9699999999999993E-2</v>
      </c>
      <c r="H381" s="3">
        <v>0.10199999999999999</v>
      </c>
      <c r="I381" s="3">
        <v>1.2500000000000001E-2</v>
      </c>
      <c r="J381" s="3" t="s">
        <v>48</v>
      </c>
      <c r="K381" s="2">
        <v>105</v>
      </c>
      <c r="L381" s="2">
        <v>278</v>
      </c>
      <c r="M381">
        <f t="shared" ca="1" si="5"/>
        <v>0.83298684387707789</v>
      </c>
    </row>
    <row r="382" spans="1:13" x14ac:dyDescent="0.4">
      <c r="A382" t="s">
        <v>789</v>
      </c>
      <c r="B382" t="s">
        <v>790</v>
      </c>
      <c r="C382" t="s">
        <v>53</v>
      </c>
      <c r="D382" s="2">
        <v>7</v>
      </c>
      <c r="E382" s="2">
        <v>37</v>
      </c>
      <c r="F382" s="3">
        <v>0.72799999999999998</v>
      </c>
      <c r="G382" s="3">
        <v>5.6899999999999999E-2</v>
      </c>
      <c r="H382" s="3">
        <v>0.14699999999999999</v>
      </c>
      <c r="I382" s="3">
        <v>0</v>
      </c>
      <c r="J382" s="3" t="s">
        <v>48</v>
      </c>
      <c r="K382" s="2">
        <v>128</v>
      </c>
      <c r="L382" s="2">
        <v>261</v>
      </c>
      <c r="M382">
        <f t="shared" ca="1" si="5"/>
        <v>0.62691935867128656</v>
      </c>
    </row>
    <row r="383" spans="1:13" x14ac:dyDescent="0.4">
      <c r="A383" t="s">
        <v>791</v>
      </c>
      <c r="B383" t="s">
        <v>792</v>
      </c>
      <c r="C383" t="s">
        <v>61</v>
      </c>
      <c r="D383" s="2">
        <v>43</v>
      </c>
      <c r="E383" s="2">
        <v>60</v>
      </c>
      <c r="F383" s="3">
        <v>0.68300000000000005</v>
      </c>
      <c r="G383" s="3">
        <v>5.9200000000000003E-2</v>
      </c>
      <c r="H383" s="3">
        <v>0.13700000000000001</v>
      </c>
      <c r="I383" s="4">
        <v>6.6599999999999998E-6</v>
      </c>
      <c r="J383" s="3" t="s">
        <v>48</v>
      </c>
      <c r="K383" s="2">
        <v>89</v>
      </c>
      <c r="L383" s="2">
        <v>165</v>
      </c>
      <c r="M383">
        <f t="shared" ca="1" si="5"/>
        <v>0.50981470820642383</v>
      </c>
    </row>
    <row r="384" spans="1:13" x14ac:dyDescent="0.4">
      <c r="A384" t="s">
        <v>793</v>
      </c>
      <c r="B384" t="s">
        <v>794</v>
      </c>
      <c r="C384" t="s">
        <v>53</v>
      </c>
      <c r="D384" s="2">
        <v>24</v>
      </c>
      <c r="E384" s="2">
        <v>45</v>
      </c>
      <c r="F384" s="3">
        <v>0.45100000000000001</v>
      </c>
      <c r="G384" s="3">
        <v>4.2900000000000001E-2</v>
      </c>
      <c r="H384" s="3">
        <v>0.314</v>
      </c>
      <c r="I384" s="3">
        <v>0</v>
      </c>
      <c r="J384" s="3" t="s">
        <v>48</v>
      </c>
      <c r="K384" s="2">
        <v>156</v>
      </c>
      <c r="L384" s="2">
        <v>230</v>
      </c>
      <c r="M384">
        <f t="shared" ca="1" si="5"/>
        <v>0.23481420855079893</v>
      </c>
    </row>
    <row r="385" spans="1:13" x14ac:dyDescent="0.4">
      <c r="A385" t="s">
        <v>795</v>
      </c>
      <c r="B385" t="s">
        <v>796</v>
      </c>
      <c r="C385" t="s">
        <v>47</v>
      </c>
      <c r="D385" s="2">
        <v>0</v>
      </c>
      <c r="E385" s="2">
        <v>31</v>
      </c>
      <c r="F385" s="3">
        <v>0.48599999999999999</v>
      </c>
      <c r="G385" s="3">
        <v>0.115</v>
      </c>
      <c r="H385" s="3">
        <v>6.2199999999999998E-2</v>
      </c>
      <c r="I385" s="3">
        <v>0</v>
      </c>
      <c r="J385" s="3" t="s">
        <v>48</v>
      </c>
      <c r="K385" s="2">
        <v>127</v>
      </c>
      <c r="L385" s="2">
        <v>195</v>
      </c>
      <c r="M385">
        <f t="shared" ca="1" si="5"/>
        <v>0.81699172884495153</v>
      </c>
    </row>
    <row r="386" spans="1:13" x14ac:dyDescent="0.4">
      <c r="A386" t="s">
        <v>797</v>
      </c>
      <c r="B386" t="s">
        <v>798</v>
      </c>
      <c r="C386" t="s">
        <v>84</v>
      </c>
      <c r="D386" s="2">
        <v>1</v>
      </c>
      <c r="E386" s="2">
        <v>58</v>
      </c>
      <c r="F386" s="3">
        <v>0.64900000000000002</v>
      </c>
      <c r="G386" s="3">
        <v>0.48399999999999999</v>
      </c>
      <c r="H386" s="3">
        <v>0.375</v>
      </c>
      <c r="I386" s="3">
        <v>0.159</v>
      </c>
      <c r="J386" s="3" t="s">
        <v>48</v>
      </c>
      <c r="K386" s="2">
        <v>125</v>
      </c>
      <c r="L386" s="2">
        <v>137</v>
      </c>
      <c r="M386">
        <f t="shared" ref="M386:M449" ca="1" si="6">RAND()</f>
        <v>0.29465237631345087</v>
      </c>
    </row>
    <row r="387" spans="1:13" x14ac:dyDescent="0.4">
      <c r="A387" t="s">
        <v>799</v>
      </c>
      <c r="B387" t="s">
        <v>432</v>
      </c>
      <c r="C387" t="s">
        <v>61</v>
      </c>
      <c r="D387" s="2">
        <v>50</v>
      </c>
      <c r="E387" s="2">
        <v>45</v>
      </c>
      <c r="F387" s="3">
        <v>0.24</v>
      </c>
      <c r="G387" s="3">
        <v>5.0500000000000003E-2</v>
      </c>
      <c r="H387" s="3">
        <v>3.4000000000000002E-2</v>
      </c>
      <c r="I387" s="3">
        <v>0</v>
      </c>
      <c r="J387" s="3" t="s">
        <v>48</v>
      </c>
      <c r="K387" s="2">
        <v>180</v>
      </c>
      <c r="L387" s="2">
        <v>168</v>
      </c>
      <c r="M387">
        <f t="shared" ca="1" si="6"/>
        <v>2.6028758767056348E-2</v>
      </c>
    </row>
    <row r="388" spans="1:13" x14ac:dyDescent="0.4">
      <c r="A388" t="s">
        <v>800</v>
      </c>
      <c r="B388" t="s">
        <v>801</v>
      </c>
      <c r="C388" t="s">
        <v>47</v>
      </c>
      <c r="D388" s="2">
        <v>4</v>
      </c>
      <c r="E388" s="2">
        <v>67</v>
      </c>
      <c r="F388" s="3">
        <v>0.56799999999999995</v>
      </c>
      <c r="G388" s="3">
        <v>5.2999999999999999E-2</v>
      </c>
      <c r="H388" s="3">
        <v>4.9699999999999996E-3</v>
      </c>
      <c r="I388" s="3">
        <v>1.38E-2</v>
      </c>
      <c r="J388" s="3" t="s">
        <v>48</v>
      </c>
      <c r="K388" s="2">
        <v>91</v>
      </c>
      <c r="L388" s="2">
        <v>222</v>
      </c>
      <c r="M388">
        <f t="shared" ca="1" si="6"/>
        <v>0.86841410957545551</v>
      </c>
    </row>
    <row r="389" spans="1:13" x14ac:dyDescent="0.4">
      <c r="A389" t="s">
        <v>802</v>
      </c>
      <c r="B389" t="s">
        <v>803</v>
      </c>
      <c r="C389" t="s">
        <v>47</v>
      </c>
      <c r="D389" s="2">
        <v>37</v>
      </c>
      <c r="E389" s="2">
        <v>62</v>
      </c>
      <c r="F389" s="3">
        <v>0.64800000000000002</v>
      </c>
      <c r="G389" s="3">
        <v>0.03</v>
      </c>
      <c r="H389" s="3">
        <v>1.41E-2</v>
      </c>
      <c r="I389" s="4">
        <v>2.4899999999999998E-4</v>
      </c>
      <c r="J389" s="3" t="s">
        <v>48</v>
      </c>
      <c r="K389" s="2">
        <v>126</v>
      </c>
      <c r="L389" s="2">
        <v>295</v>
      </c>
      <c r="M389">
        <f t="shared" ca="1" si="6"/>
        <v>0.53953408728885199</v>
      </c>
    </row>
    <row r="390" spans="1:13" x14ac:dyDescent="0.4">
      <c r="A390" t="s">
        <v>804</v>
      </c>
      <c r="B390" t="s">
        <v>805</v>
      </c>
      <c r="C390" t="s">
        <v>84</v>
      </c>
      <c r="D390" s="2">
        <v>1</v>
      </c>
      <c r="E390" s="2">
        <v>55</v>
      </c>
      <c r="F390" s="3">
        <v>0.85099999999999998</v>
      </c>
      <c r="G390" s="3">
        <v>0.29099999999999998</v>
      </c>
      <c r="H390" s="3">
        <v>0.32600000000000001</v>
      </c>
      <c r="I390" s="3">
        <v>0</v>
      </c>
      <c r="J390" s="3" t="s">
        <v>48</v>
      </c>
      <c r="K390" s="2">
        <v>140</v>
      </c>
      <c r="L390" s="2">
        <v>83</v>
      </c>
      <c r="M390">
        <f t="shared" ca="1" si="6"/>
        <v>0.61627479254853645</v>
      </c>
    </row>
    <row r="391" spans="1:13" x14ac:dyDescent="0.4">
      <c r="A391" t="s">
        <v>806</v>
      </c>
      <c r="B391" t="s">
        <v>807</v>
      </c>
      <c r="C391" t="s">
        <v>56</v>
      </c>
      <c r="D391" s="2">
        <v>1</v>
      </c>
      <c r="E391" s="2">
        <v>45</v>
      </c>
      <c r="F391" s="3">
        <v>0.60799999999999998</v>
      </c>
      <c r="G391" s="3">
        <v>3.8100000000000002E-2</v>
      </c>
      <c r="H391" s="3">
        <v>3.0300000000000001E-2</v>
      </c>
      <c r="I391" s="3">
        <v>0.32700000000000001</v>
      </c>
      <c r="J391" s="3" t="s">
        <v>48</v>
      </c>
      <c r="K391" s="2">
        <v>123</v>
      </c>
      <c r="L391" s="2">
        <v>254</v>
      </c>
      <c r="M391">
        <f t="shared" ca="1" si="6"/>
        <v>0.91276899364995256</v>
      </c>
    </row>
    <row r="392" spans="1:13" x14ac:dyDescent="0.4">
      <c r="A392" t="s">
        <v>808</v>
      </c>
      <c r="B392" t="s">
        <v>809</v>
      </c>
      <c r="C392" t="s">
        <v>84</v>
      </c>
      <c r="D392" s="2">
        <v>6</v>
      </c>
      <c r="E392" s="2">
        <v>35</v>
      </c>
      <c r="F392" s="3">
        <v>0.57199999999999995</v>
      </c>
      <c r="G392" s="3">
        <v>8.5500000000000007E-2</v>
      </c>
      <c r="H392" s="3">
        <v>0.30499999999999999</v>
      </c>
      <c r="I392" s="3">
        <v>0.61599999999999999</v>
      </c>
      <c r="J392" s="3" t="s">
        <v>48</v>
      </c>
      <c r="K392" s="2">
        <v>129</v>
      </c>
      <c r="L392" s="2">
        <v>256</v>
      </c>
      <c r="M392">
        <f t="shared" ca="1" si="6"/>
        <v>0.41706129950863069</v>
      </c>
    </row>
    <row r="393" spans="1:13" x14ac:dyDescent="0.4">
      <c r="A393" t="s">
        <v>810</v>
      </c>
      <c r="B393" t="s">
        <v>811</v>
      </c>
      <c r="C393" t="s">
        <v>84</v>
      </c>
      <c r="D393" s="2">
        <v>2</v>
      </c>
      <c r="E393" s="2">
        <v>32</v>
      </c>
      <c r="F393" s="3">
        <v>0.6</v>
      </c>
      <c r="G393" s="3">
        <v>0.40899999999999997</v>
      </c>
      <c r="H393" s="3">
        <v>0.23400000000000001</v>
      </c>
      <c r="I393" s="3">
        <v>0</v>
      </c>
      <c r="J393" s="3" t="s">
        <v>48</v>
      </c>
      <c r="K393" s="2">
        <v>94</v>
      </c>
      <c r="L393" s="2">
        <v>197</v>
      </c>
      <c r="M393">
        <f t="shared" ca="1" si="6"/>
        <v>5.7033035517401687E-2</v>
      </c>
    </row>
    <row r="394" spans="1:13" x14ac:dyDescent="0.4">
      <c r="A394" t="s">
        <v>812</v>
      </c>
      <c r="B394" t="s">
        <v>813</v>
      </c>
      <c r="C394" t="s">
        <v>47</v>
      </c>
      <c r="D394" s="2">
        <v>1</v>
      </c>
      <c r="E394" s="2">
        <v>77</v>
      </c>
      <c r="F394" s="3">
        <v>0.63700000000000001</v>
      </c>
      <c r="G394" s="3">
        <v>0.186</v>
      </c>
      <c r="H394" s="3">
        <v>0.68200000000000005</v>
      </c>
      <c r="I394" s="4">
        <v>2.2000000000000001E-6</v>
      </c>
      <c r="J394" s="3" t="s">
        <v>48</v>
      </c>
      <c r="K394" s="2">
        <v>176</v>
      </c>
      <c r="L394" s="2">
        <v>186</v>
      </c>
      <c r="M394">
        <f t="shared" ca="1" si="6"/>
        <v>0.27626072195158136</v>
      </c>
    </row>
    <row r="395" spans="1:13" x14ac:dyDescent="0.4">
      <c r="A395" t="s">
        <v>814</v>
      </c>
      <c r="B395" t="s">
        <v>815</v>
      </c>
      <c r="C395" t="s">
        <v>61</v>
      </c>
      <c r="D395" s="2">
        <v>1</v>
      </c>
      <c r="E395" s="2">
        <v>26</v>
      </c>
      <c r="F395" s="3">
        <v>0.58599999999999997</v>
      </c>
      <c r="G395" s="3">
        <v>3.5499999999999997E-2</v>
      </c>
      <c r="H395" s="3">
        <v>0.17899999999999999</v>
      </c>
      <c r="I395" s="3">
        <v>0</v>
      </c>
      <c r="J395" s="3" t="s">
        <v>48</v>
      </c>
      <c r="K395" s="2">
        <v>134</v>
      </c>
      <c r="L395" s="2">
        <v>247</v>
      </c>
      <c r="M395">
        <f t="shared" ca="1" si="6"/>
        <v>0.8712928747755303</v>
      </c>
    </row>
    <row r="396" spans="1:13" x14ac:dyDescent="0.4">
      <c r="A396" t="s">
        <v>816</v>
      </c>
      <c r="B396" t="s">
        <v>817</v>
      </c>
      <c r="C396" t="s">
        <v>53</v>
      </c>
      <c r="D396" s="2">
        <v>5</v>
      </c>
      <c r="E396" s="2">
        <v>25</v>
      </c>
      <c r="F396" s="3">
        <v>0.67600000000000005</v>
      </c>
      <c r="G396" s="3">
        <v>4.2099999999999999E-2</v>
      </c>
      <c r="H396" s="3">
        <v>1.43E-2</v>
      </c>
      <c r="I396" s="3">
        <v>3.15E-3</v>
      </c>
      <c r="J396" s="3" t="s">
        <v>48</v>
      </c>
      <c r="K396" s="2">
        <v>124</v>
      </c>
      <c r="L396" s="2">
        <v>180</v>
      </c>
      <c r="M396">
        <f t="shared" ca="1" si="6"/>
        <v>0.3796783111353228</v>
      </c>
    </row>
    <row r="397" spans="1:13" x14ac:dyDescent="0.4">
      <c r="A397" t="s">
        <v>818</v>
      </c>
      <c r="B397" t="s">
        <v>819</v>
      </c>
      <c r="C397" t="s">
        <v>66</v>
      </c>
      <c r="D397" s="2">
        <v>28</v>
      </c>
      <c r="E397" s="2">
        <v>56</v>
      </c>
      <c r="F397" s="3">
        <v>0.40200000000000002</v>
      </c>
      <c r="G397" s="3">
        <v>3.7999999999999999E-2</v>
      </c>
      <c r="H397" s="3">
        <v>0.75800000000000001</v>
      </c>
      <c r="I397" s="3">
        <v>0</v>
      </c>
      <c r="J397" s="3" t="s">
        <v>67</v>
      </c>
      <c r="K397" s="2">
        <v>144</v>
      </c>
      <c r="L397" s="2">
        <v>189</v>
      </c>
      <c r="M397">
        <f t="shared" ca="1" si="6"/>
        <v>0.3387966921129224</v>
      </c>
    </row>
    <row r="398" spans="1:13" x14ac:dyDescent="0.4">
      <c r="A398" t="s">
        <v>820</v>
      </c>
      <c r="B398" t="s">
        <v>821</v>
      </c>
      <c r="C398" t="s">
        <v>47</v>
      </c>
      <c r="D398" s="2">
        <v>1</v>
      </c>
      <c r="E398" s="2">
        <v>27</v>
      </c>
      <c r="F398" s="3">
        <v>0.65400000000000003</v>
      </c>
      <c r="G398" s="3">
        <v>0.161</v>
      </c>
      <c r="H398" s="3">
        <v>0.27400000000000002</v>
      </c>
      <c r="I398" s="3">
        <v>2.8299999999999999E-2</v>
      </c>
      <c r="J398" s="3" t="s">
        <v>48</v>
      </c>
      <c r="K398" s="2">
        <v>120</v>
      </c>
      <c r="L398" s="2">
        <v>204</v>
      </c>
      <c r="M398">
        <f t="shared" ca="1" si="6"/>
        <v>0.74648720019530912</v>
      </c>
    </row>
    <row r="399" spans="1:13" x14ac:dyDescent="0.4">
      <c r="A399" t="s">
        <v>822</v>
      </c>
      <c r="B399" t="s">
        <v>823</v>
      </c>
      <c r="C399" t="s">
        <v>66</v>
      </c>
      <c r="D399" s="2">
        <v>5</v>
      </c>
      <c r="E399" s="2">
        <v>9</v>
      </c>
      <c r="F399" s="3">
        <v>0.85299999999999998</v>
      </c>
      <c r="G399" s="3">
        <v>5.8500000000000003E-2</v>
      </c>
      <c r="H399" s="3">
        <v>0.28199999999999997</v>
      </c>
      <c r="I399" s="3">
        <v>0.108</v>
      </c>
      <c r="J399" s="3" t="s">
        <v>48</v>
      </c>
      <c r="K399" s="2">
        <v>98</v>
      </c>
      <c r="L399" s="2">
        <v>207</v>
      </c>
      <c r="M399">
        <f t="shared" ca="1" si="6"/>
        <v>0.2077717164951105</v>
      </c>
    </row>
    <row r="400" spans="1:13" x14ac:dyDescent="0.4">
      <c r="A400" t="s">
        <v>824</v>
      </c>
      <c r="B400" t="s">
        <v>825</v>
      </c>
      <c r="C400" t="s">
        <v>53</v>
      </c>
      <c r="D400" s="2">
        <v>4</v>
      </c>
      <c r="E400" s="2">
        <v>2</v>
      </c>
      <c r="F400" s="3">
        <v>0.51900000000000002</v>
      </c>
      <c r="G400" s="3">
        <v>0.24399999999999999</v>
      </c>
      <c r="H400" s="3">
        <v>0.09</v>
      </c>
      <c r="I400" s="3">
        <v>0</v>
      </c>
      <c r="J400" s="3" t="s">
        <v>48</v>
      </c>
      <c r="K400" s="2">
        <v>95</v>
      </c>
      <c r="L400" s="2">
        <v>180</v>
      </c>
      <c r="M400">
        <f t="shared" ca="1" si="6"/>
        <v>0.4263260468833675</v>
      </c>
    </row>
    <row r="401" spans="1:13" x14ac:dyDescent="0.4">
      <c r="A401" t="s">
        <v>826</v>
      </c>
      <c r="B401" t="s">
        <v>827</v>
      </c>
      <c r="C401" t="s">
        <v>84</v>
      </c>
      <c r="D401" s="2">
        <v>0</v>
      </c>
      <c r="E401" s="2">
        <v>34</v>
      </c>
      <c r="F401" s="3">
        <v>0.52600000000000002</v>
      </c>
      <c r="G401" s="3">
        <v>8.48E-2</v>
      </c>
      <c r="H401" s="3">
        <v>0.129</v>
      </c>
      <c r="I401" s="4">
        <v>8.0199999999999994E-6</v>
      </c>
      <c r="J401" s="3" t="s">
        <v>48</v>
      </c>
      <c r="K401" s="2">
        <v>145</v>
      </c>
      <c r="L401" s="2">
        <v>177</v>
      </c>
      <c r="M401">
        <f t="shared" ca="1" si="6"/>
        <v>0.50113175849610381</v>
      </c>
    </row>
    <row r="402" spans="1:13" x14ac:dyDescent="0.4">
      <c r="A402" t="s">
        <v>828</v>
      </c>
      <c r="B402" t="s">
        <v>829</v>
      </c>
      <c r="C402" t="s">
        <v>53</v>
      </c>
      <c r="D402" s="2">
        <v>22</v>
      </c>
      <c r="E402" s="2">
        <v>34</v>
      </c>
      <c r="F402" s="3">
        <v>0.78600000000000003</v>
      </c>
      <c r="G402" s="3">
        <v>0.47599999999999998</v>
      </c>
      <c r="H402" s="3">
        <v>1.43E-2</v>
      </c>
      <c r="I402" s="4">
        <v>9.8799999999999995E-4</v>
      </c>
      <c r="J402" s="3" t="s">
        <v>67</v>
      </c>
      <c r="K402" s="2">
        <v>97</v>
      </c>
      <c r="L402" s="2">
        <v>283</v>
      </c>
      <c r="M402">
        <f t="shared" ca="1" si="6"/>
        <v>0.54021044436113086</v>
      </c>
    </row>
    <row r="403" spans="1:13" x14ac:dyDescent="0.4">
      <c r="A403" t="s">
        <v>830</v>
      </c>
      <c r="B403" t="s">
        <v>831</v>
      </c>
      <c r="C403" t="s">
        <v>61</v>
      </c>
      <c r="D403" s="2">
        <v>1</v>
      </c>
      <c r="E403" s="2">
        <v>31</v>
      </c>
      <c r="F403" s="3">
        <v>0.68300000000000005</v>
      </c>
      <c r="G403" s="3">
        <v>3.0499999999999999E-2</v>
      </c>
      <c r="H403" s="3">
        <v>1.57E-3</v>
      </c>
      <c r="I403" s="3">
        <v>0</v>
      </c>
      <c r="J403" s="3" t="s">
        <v>48</v>
      </c>
      <c r="K403" s="2">
        <v>112</v>
      </c>
      <c r="L403" s="2">
        <v>244</v>
      </c>
      <c r="M403">
        <f t="shared" ca="1" si="6"/>
        <v>0.44083134870043139</v>
      </c>
    </row>
    <row r="404" spans="1:13" x14ac:dyDescent="0.4">
      <c r="A404" t="s">
        <v>832</v>
      </c>
      <c r="B404" t="s">
        <v>833</v>
      </c>
      <c r="C404" t="s">
        <v>61</v>
      </c>
      <c r="D404" s="2">
        <v>19</v>
      </c>
      <c r="E404" s="2">
        <v>52</v>
      </c>
      <c r="F404" s="3">
        <v>0.436</v>
      </c>
      <c r="G404" s="3">
        <v>5.9700000000000003E-2</v>
      </c>
      <c r="H404" s="3">
        <v>5.2499999999999998E-2</v>
      </c>
      <c r="I404" s="3">
        <v>0</v>
      </c>
      <c r="J404" s="3" t="s">
        <v>48</v>
      </c>
      <c r="K404" s="2">
        <v>131</v>
      </c>
      <c r="L404" s="2">
        <v>326</v>
      </c>
      <c r="M404">
        <f t="shared" ca="1" si="6"/>
        <v>0.98886556156030447</v>
      </c>
    </row>
    <row r="405" spans="1:13" x14ac:dyDescent="0.4">
      <c r="A405" t="s">
        <v>834</v>
      </c>
      <c r="B405" t="s">
        <v>835</v>
      </c>
      <c r="C405" t="s">
        <v>61</v>
      </c>
      <c r="D405" s="2">
        <v>38</v>
      </c>
      <c r="E405" s="2">
        <v>68</v>
      </c>
      <c r="F405" s="3">
        <v>0.67300000000000004</v>
      </c>
      <c r="G405" s="3">
        <v>3.6700000000000003E-2</v>
      </c>
      <c r="H405" s="3">
        <v>1.3299999999999999E-2</v>
      </c>
      <c r="I405" s="3">
        <v>2.9299999999999999E-3</v>
      </c>
      <c r="J405" s="3" t="s">
        <v>48</v>
      </c>
      <c r="K405" s="2">
        <v>147</v>
      </c>
      <c r="L405" s="2">
        <v>252</v>
      </c>
      <c r="M405">
        <f t="shared" ca="1" si="6"/>
        <v>0.47838911778461324</v>
      </c>
    </row>
    <row r="406" spans="1:13" x14ac:dyDescent="0.4">
      <c r="A406" t="s">
        <v>836</v>
      </c>
      <c r="B406" t="s">
        <v>837</v>
      </c>
      <c r="C406" t="s">
        <v>47</v>
      </c>
      <c r="D406" s="2">
        <v>11</v>
      </c>
      <c r="E406" s="2">
        <v>2</v>
      </c>
      <c r="F406" s="3">
        <v>0.61199999999999999</v>
      </c>
      <c r="G406" s="3">
        <v>4.07E-2</v>
      </c>
      <c r="H406" s="3">
        <v>1.3299999999999999E-2</v>
      </c>
      <c r="I406" s="3">
        <v>1.0699999999999999E-2</v>
      </c>
      <c r="J406" s="3" t="s">
        <v>48</v>
      </c>
      <c r="K406" s="2">
        <v>140</v>
      </c>
      <c r="L406" s="2">
        <v>223</v>
      </c>
      <c r="M406">
        <f t="shared" ca="1" si="6"/>
        <v>0.61579030895642151</v>
      </c>
    </row>
    <row r="407" spans="1:13" x14ac:dyDescent="0.4">
      <c r="A407" t="s">
        <v>838</v>
      </c>
      <c r="B407" t="s">
        <v>839</v>
      </c>
      <c r="C407" t="s">
        <v>66</v>
      </c>
      <c r="D407" s="2">
        <v>7</v>
      </c>
      <c r="E407" s="2">
        <v>49</v>
      </c>
      <c r="F407" s="3">
        <v>0.67900000000000005</v>
      </c>
      <c r="G407" s="3">
        <v>0.129</v>
      </c>
      <c r="H407" s="3">
        <v>3.4799999999999998E-2</v>
      </c>
      <c r="I407" s="3">
        <v>0</v>
      </c>
      <c r="J407" s="3" t="s">
        <v>48</v>
      </c>
      <c r="K407" s="2">
        <v>88</v>
      </c>
      <c r="L407" s="2">
        <v>144</v>
      </c>
      <c r="M407">
        <f t="shared" ca="1" si="6"/>
        <v>0.7459570733565668</v>
      </c>
    </row>
    <row r="408" spans="1:13" x14ac:dyDescent="0.4">
      <c r="A408" t="s">
        <v>840</v>
      </c>
      <c r="B408" t="s">
        <v>841</v>
      </c>
      <c r="C408" t="s">
        <v>61</v>
      </c>
      <c r="D408" s="2">
        <v>33</v>
      </c>
      <c r="E408" s="2">
        <v>2</v>
      </c>
      <c r="F408" s="3">
        <v>0.503</v>
      </c>
      <c r="G408" s="3">
        <v>6.9900000000000004E-2</v>
      </c>
      <c r="H408" s="3">
        <v>1.6100000000000001E-3</v>
      </c>
      <c r="I408" s="3">
        <v>0</v>
      </c>
      <c r="J408" s="3" t="s">
        <v>48</v>
      </c>
      <c r="K408" s="2">
        <v>170</v>
      </c>
      <c r="L408" s="2">
        <v>267</v>
      </c>
      <c r="M408">
        <f t="shared" ca="1" si="6"/>
        <v>0.73802958158515741</v>
      </c>
    </row>
    <row r="409" spans="1:13" x14ac:dyDescent="0.4">
      <c r="A409" t="s">
        <v>842</v>
      </c>
      <c r="B409" t="s">
        <v>843</v>
      </c>
      <c r="C409" t="s">
        <v>66</v>
      </c>
      <c r="D409" s="2">
        <v>1</v>
      </c>
      <c r="E409" s="2">
        <v>50</v>
      </c>
      <c r="F409" s="3">
        <v>0.38</v>
      </c>
      <c r="G409" s="3">
        <v>9.1399999999999995E-2</v>
      </c>
      <c r="H409" s="3">
        <v>0.374</v>
      </c>
      <c r="I409" s="4">
        <v>4.4299999999999998E-4</v>
      </c>
      <c r="J409" s="3" t="s">
        <v>48</v>
      </c>
      <c r="K409" s="2">
        <v>88</v>
      </c>
      <c r="L409" s="2">
        <v>239</v>
      </c>
      <c r="M409">
        <f t="shared" ca="1" si="6"/>
        <v>0.93369137664391466</v>
      </c>
    </row>
    <row r="410" spans="1:13" x14ac:dyDescent="0.4">
      <c r="A410" t="s">
        <v>844</v>
      </c>
      <c r="B410" t="s">
        <v>845</v>
      </c>
      <c r="C410" t="s">
        <v>84</v>
      </c>
      <c r="D410" s="2">
        <v>52</v>
      </c>
      <c r="E410" s="2">
        <v>53</v>
      </c>
      <c r="F410" s="3">
        <v>0.78400000000000003</v>
      </c>
      <c r="G410" s="3">
        <v>3.7600000000000001E-2</v>
      </c>
      <c r="H410" s="3">
        <v>0.29899999999999999</v>
      </c>
      <c r="I410" s="4">
        <v>1.6000000000000001E-4</v>
      </c>
      <c r="J410" s="3" t="s">
        <v>67</v>
      </c>
      <c r="K410" s="2">
        <v>113</v>
      </c>
      <c r="L410" s="2">
        <v>153</v>
      </c>
      <c r="M410">
        <f t="shared" ca="1" si="6"/>
        <v>0.37241551003887796</v>
      </c>
    </row>
    <row r="411" spans="1:13" x14ac:dyDescent="0.4">
      <c r="A411" t="s">
        <v>846</v>
      </c>
      <c r="B411" t="s">
        <v>316</v>
      </c>
      <c r="C411" t="s">
        <v>53</v>
      </c>
      <c r="D411" s="2">
        <v>1</v>
      </c>
      <c r="E411" s="2">
        <v>68</v>
      </c>
      <c r="F411" s="3">
        <v>0.59299999999999997</v>
      </c>
      <c r="G411" s="3">
        <v>0.34</v>
      </c>
      <c r="H411" s="3">
        <v>0.30299999999999999</v>
      </c>
      <c r="I411" s="3">
        <v>0</v>
      </c>
      <c r="J411" s="3" t="s">
        <v>48</v>
      </c>
      <c r="K411" s="2">
        <v>192</v>
      </c>
      <c r="L411" s="2">
        <v>204</v>
      </c>
      <c r="M411">
        <f t="shared" ca="1" si="6"/>
        <v>0.14632973733835875</v>
      </c>
    </row>
    <row r="412" spans="1:13" x14ac:dyDescent="0.4">
      <c r="A412" t="s">
        <v>847</v>
      </c>
      <c r="B412" t="s">
        <v>848</v>
      </c>
      <c r="C412" t="s">
        <v>56</v>
      </c>
      <c r="D412" s="2">
        <v>1</v>
      </c>
      <c r="E412" s="2">
        <v>53</v>
      </c>
      <c r="F412" s="3">
        <v>0.80300000000000005</v>
      </c>
      <c r="G412" s="3">
        <v>5.4800000000000001E-2</v>
      </c>
      <c r="H412" s="4">
        <v>2.7E-4</v>
      </c>
      <c r="I412" s="3">
        <v>0.84599999999999997</v>
      </c>
      <c r="J412" s="3" t="s">
        <v>48</v>
      </c>
      <c r="K412" s="2">
        <v>128</v>
      </c>
      <c r="L412" s="2">
        <v>211</v>
      </c>
      <c r="M412">
        <f t="shared" ca="1" si="6"/>
        <v>0.65843281282120514</v>
      </c>
    </row>
    <row r="413" spans="1:13" x14ac:dyDescent="0.4">
      <c r="A413" t="s">
        <v>849</v>
      </c>
      <c r="B413" t="s">
        <v>850</v>
      </c>
      <c r="C413" t="s">
        <v>56</v>
      </c>
      <c r="D413" s="2">
        <v>1</v>
      </c>
      <c r="E413" s="2">
        <v>50</v>
      </c>
      <c r="F413" s="3">
        <v>0.56100000000000005</v>
      </c>
      <c r="G413" s="3">
        <v>3.1800000000000002E-2</v>
      </c>
      <c r="H413" s="3">
        <v>9.8700000000000003E-3</v>
      </c>
      <c r="I413" s="4">
        <v>1.7E-5</v>
      </c>
      <c r="J413" s="3" t="s">
        <v>48</v>
      </c>
      <c r="K413" s="2">
        <v>125</v>
      </c>
      <c r="L413" s="2">
        <v>186</v>
      </c>
      <c r="M413">
        <f t="shared" ca="1" si="6"/>
        <v>0.49399780250817849</v>
      </c>
    </row>
    <row r="414" spans="1:13" x14ac:dyDescent="0.4">
      <c r="A414" t="s">
        <v>851</v>
      </c>
      <c r="B414" t="s">
        <v>852</v>
      </c>
      <c r="C414" t="s">
        <v>56</v>
      </c>
      <c r="D414" s="2">
        <v>8</v>
      </c>
      <c r="E414" s="2">
        <v>25</v>
      </c>
      <c r="F414" s="3">
        <v>0.93100000000000005</v>
      </c>
      <c r="G414" s="3">
        <v>5.5300000000000002E-2</v>
      </c>
      <c r="H414" s="3">
        <v>0.13900000000000001</v>
      </c>
      <c r="I414" s="4">
        <v>3.2799999999999998E-5</v>
      </c>
      <c r="J414" s="3" t="s">
        <v>48</v>
      </c>
      <c r="K414" s="2">
        <v>125</v>
      </c>
      <c r="L414" s="2">
        <v>224</v>
      </c>
      <c r="M414">
        <f t="shared" ca="1" si="6"/>
        <v>0.2696601952687433</v>
      </c>
    </row>
    <row r="415" spans="1:13" x14ac:dyDescent="0.4">
      <c r="A415" t="s">
        <v>853</v>
      </c>
      <c r="B415" t="s">
        <v>854</v>
      </c>
      <c r="C415" t="s">
        <v>47</v>
      </c>
      <c r="D415" s="2">
        <v>8</v>
      </c>
      <c r="E415" s="2">
        <v>66</v>
      </c>
      <c r="F415" s="3">
        <v>0.71399999999999997</v>
      </c>
      <c r="G415" s="3">
        <v>2.8899999999999999E-2</v>
      </c>
      <c r="H415" s="3">
        <v>8.5500000000000003E-3</v>
      </c>
      <c r="I415" s="4">
        <v>2.55E-5</v>
      </c>
      <c r="J415" s="3" t="s">
        <v>48</v>
      </c>
      <c r="K415" s="2">
        <v>126</v>
      </c>
      <c r="L415" s="2">
        <v>155</v>
      </c>
      <c r="M415">
        <f t="shared" ca="1" si="6"/>
        <v>0.20693006316377094</v>
      </c>
    </row>
    <row r="416" spans="1:13" x14ac:dyDescent="0.4">
      <c r="A416" t="s">
        <v>855</v>
      </c>
      <c r="B416" t="s">
        <v>856</v>
      </c>
      <c r="C416" t="s">
        <v>53</v>
      </c>
      <c r="D416" s="2">
        <v>3</v>
      </c>
      <c r="E416" s="2">
        <v>41</v>
      </c>
      <c r="F416" s="3">
        <v>0.25</v>
      </c>
      <c r="G416" s="3">
        <v>3.15E-2</v>
      </c>
      <c r="H416" s="3">
        <v>0.35599999999999998</v>
      </c>
      <c r="I416" s="4">
        <v>7.08E-6</v>
      </c>
      <c r="J416" s="3" t="s">
        <v>67</v>
      </c>
      <c r="K416" s="2">
        <v>168</v>
      </c>
      <c r="L416" s="2">
        <v>307</v>
      </c>
      <c r="M416">
        <f t="shared" ca="1" si="6"/>
        <v>0.93097750924272749</v>
      </c>
    </row>
    <row r="417" spans="1:13" x14ac:dyDescent="0.4">
      <c r="A417" t="s">
        <v>857</v>
      </c>
      <c r="B417" t="s">
        <v>858</v>
      </c>
      <c r="C417" t="s">
        <v>84</v>
      </c>
      <c r="D417" s="2">
        <v>17</v>
      </c>
      <c r="E417" s="2">
        <v>32</v>
      </c>
      <c r="F417" s="3">
        <v>0.88500000000000001</v>
      </c>
      <c r="G417" s="3">
        <v>0.20100000000000001</v>
      </c>
      <c r="H417" s="3">
        <v>9.2700000000000005E-2</v>
      </c>
      <c r="I417" s="4">
        <v>2.05E-4</v>
      </c>
      <c r="J417" s="3" t="s">
        <v>48</v>
      </c>
      <c r="K417" s="2">
        <v>150</v>
      </c>
      <c r="L417" s="2">
        <v>307</v>
      </c>
      <c r="M417">
        <f t="shared" ca="1" si="6"/>
        <v>0.48927821002818528</v>
      </c>
    </row>
    <row r="418" spans="1:13" x14ac:dyDescent="0.4">
      <c r="A418" t="s">
        <v>859</v>
      </c>
      <c r="B418" t="s">
        <v>860</v>
      </c>
      <c r="C418" t="s">
        <v>53</v>
      </c>
      <c r="D418" s="2">
        <v>1</v>
      </c>
      <c r="E418" s="2">
        <v>51</v>
      </c>
      <c r="F418" s="3">
        <v>0.84299999999999997</v>
      </c>
      <c r="G418" s="3">
        <v>0.13700000000000001</v>
      </c>
      <c r="H418" s="3">
        <v>0.41099999999999998</v>
      </c>
      <c r="I418" s="4">
        <v>1.37E-4</v>
      </c>
      <c r="J418" s="3" t="s">
        <v>48</v>
      </c>
      <c r="K418" s="2">
        <v>103</v>
      </c>
      <c r="L418" s="2">
        <v>206</v>
      </c>
      <c r="M418">
        <f t="shared" ca="1" si="6"/>
        <v>0.54199812227705646</v>
      </c>
    </row>
    <row r="419" spans="1:13" x14ac:dyDescent="0.4">
      <c r="A419" t="s">
        <v>861</v>
      </c>
      <c r="B419" t="s">
        <v>862</v>
      </c>
      <c r="C419" t="s">
        <v>56</v>
      </c>
      <c r="D419" s="2">
        <v>5</v>
      </c>
      <c r="E419" s="2">
        <v>8</v>
      </c>
      <c r="F419" s="3">
        <v>0.66900000000000004</v>
      </c>
      <c r="G419" s="3">
        <v>6.8500000000000005E-2</v>
      </c>
      <c r="H419" s="3">
        <v>8.5300000000000001E-2</v>
      </c>
      <c r="I419" s="4">
        <v>2.5700000000000001E-4</v>
      </c>
      <c r="J419" s="3" t="s">
        <v>48</v>
      </c>
      <c r="K419" s="2">
        <v>126</v>
      </c>
      <c r="L419" s="2">
        <v>507</v>
      </c>
      <c r="M419">
        <f t="shared" ca="1" si="6"/>
        <v>0.54658214527516191</v>
      </c>
    </row>
    <row r="420" spans="1:13" x14ac:dyDescent="0.4">
      <c r="A420" t="s">
        <v>863</v>
      </c>
      <c r="B420" t="s">
        <v>864</v>
      </c>
      <c r="C420" t="s">
        <v>47</v>
      </c>
      <c r="D420" s="2">
        <v>3</v>
      </c>
      <c r="E420" s="2">
        <v>56</v>
      </c>
      <c r="F420" s="3">
        <v>0.55100000000000005</v>
      </c>
      <c r="G420" s="3">
        <v>0.20899999999999999</v>
      </c>
      <c r="H420" s="3">
        <v>0.22500000000000001</v>
      </c>
      <c r="I420" s="3">
        <v>0</v>
      </c>
      <c r="J420" s="3" t="s">
        <v>48</v>
      </c>
      <c r="K420" s="2">
        <v>180</v>
      </c>
      <c r="L420" s="2">
        <v>194</v>
      </c>
      <c r="M420">
        <f t="shared" ca="1" si="6"/>
        <v>0.72776814974603832</v>
      </c>
    </row>
    <row r="421" spans="1:13" x14ac:dyDescent="0.4">
      <c r="A421" t="s">
        <v>865</v>
      </c>
      <c r="B421" t="s">
        <v>866</v>
      </c>
      <c r="C421" t="s">
        <v>53</v>
      </c>
      <c r="D421" s="2">
        <v>2</v>
      </c>
      <c r="E421" s="2">
        <v>22</v>
      </c>
      <c r="F421" s="3">
        <v>0.73199999999999998</v>
      </c>
      <c r="G421" s="3">
        <v>5.4899999999999997E-2</v>
      </c>
      <c r="H421" s="3">
        <v>2.29E-2</v>
      </c>
      <c r="I421" s="4">
        <v>6.5300000000000002E-6</v>
      </c>
      <c r="J421" s="3" t="s">
        <v>48</v>
      </c>
      <c r="K421" s="2">
        <v>120</v>
      </c>
      <c r="L421" s="2">
        <v>182</v>
      </c>
      <c r="M421">
        <f t="shared" ca="1" si="6"/>
        <v>0.68270692876004035</v>
      </c>
    </row>
    <row r="422" spans="1:13" x14ac:dyDescent="0.4">
      <c r="A422" t="s">
        <v>867</v>
      </c>
      <c r="B422" t="s">
        <v>460</v>
      </c>
      <c r="C422" t="s">
        <v>84</v>
      </c>
      <c r="D422" s="2">
        <v>11</v>
      </c>
      <c r="E422" s="2">
        <v>67</v>
      </c>
      <c r="F422" s="3">
        <v>0.41499999999999998</v>
      </c>
      <c r="G422" s="3">
        <v>0.374</v>
      </c>
      <c r="H422" s="3">
        <v>0.253</v>
      </c>
      <c r="I422" s="3">
        <v>0</v>
      </c>
      <c r="J422" s="3" t="s">
        <v>48</v>
      </c>
      <c r="K422" s="2">
        <v>158</v>
      </c>
      <c r="L422" s="2">
        <v>357</v>
      </c>
      <c r="M422">
        <f t="shared" ca="1" si="6"/>
        <v>0.70715714824717124</v>
      </c>
    </row>
    <row r="423" spans="1:13" x14ac:dyDescent="0.4">
      <c r="A423" t="s">
        <v>868</v>
      </c>
      <c r="B423" t="s">
        <v>869</v>
      </c>
      <c r="C423" t="s">
        <v>61</v>
      </c>
      <c r="D423" s="2">
        <v>42</v>
      </c>
      <c r="E423" s="2">
        <v>69</v>
      </c>
      <c r="F423" s="3">
        <v>0.61899999999999999</v>
      </c>
      <c r="G423" s="3">
        <v>4.7300000000000002E-2</v>
      </c>
      <c r="H423" s="3">
        <v>1.52E-2</v>
      </c>
      <c r="I423" s="4">
        <v>6.3999999999999997E-5</v>
      </c>
      <c r="J423" s="3" t="s">
        <v>48</v>
      </c>
      <c r="K423" s="2">
        <v>127</v>
      </c>
      <c r="L423" s="2">
        <v>226</v>
      </c>
      <c r="M423">
        <f t="shared" ca="1" si="6"/>
        <v>0.86738942775332351</v>
      </c>
    </row>
    <row r="424" spans="1:13" x14ac:dyDescent="0.4">
      <c r="A424" t="s">
        <v>870</v>
      </c>
      <c r="B424" t="s">
        <v>871</v>
      </c>
      <c r="C424" t="s">
        <v>47</v>
      </c>
      <c r="D424" s="2">
        <v>2</v>
      </c>
      <c r="E424" s="2">
        <v>28</v>
      </c>
      <c r="F424" s="3">
        <v>0.66400000000000003</v>
      </c>
      <c r="G424" s="3">
        <v>3.3099999999999997E-2</v>
      </c>
      <c r="H424" s="3">
        <v>3.44E-2</v>
      </c>
      <c r="I424" s="3">
        <v>0</v>
      </c>
      <c r="J424" s="3" t="s">
        <v>48</v>
      </c>
      <c r="K424" s="2">
        <v>120</v>
      </c>
      <c r="L424" s="2">
        <v>172</v>
      </c>
      <c r="M424">
        <f t="shared" ca="1" si="6"/>
        <v>0.66024528826885387</v>
      </c>
    </row>
    <row r="425" spans="1:13" x14ac:dyDescent="0.4">
      <c r="A425" t="s">
        <v>872</v>
      </c>
      <c r="B425" t="s">
        <v>873</v>
      </c>
      <c r="C425" t="s">
        <v>84</v>
      </c>
      <c r="D425" s="2">
        <v>1</v>
      </c>
      <c r="E425" s="2">
        <v>52</v>
      </c>
      <c r="F425" s="3">
        <v>0.86499999999999999</v>
      </c>
      <c r="G425" s="3">
        <v>0.85299999999999998</v>
      </c>
      <c r="H425" s="3">
        <v>5.5199999999999999E-2</v>
      </c>
      <c r="I425" s="3">
        <v>0</v>
      </c>
      <c r="J425" s="3" t="s">
        <v>67</v>
      </c>
      <c r="K425" s="2">
        <v>123</v>
      </c>
      <c r="L425" s="2">
        <v>129</v>
      </c>
      <c r="M425">
        <f t="shared" ca="1" si="6"/>
        <v>4.7628736909917424E-2</v>
      </c>
    </row>
    <row r="426" spans="1:13" x14ac:dyDescent="0.4">
      <c r="A426" t="s">
        <v>874</v>
      </c>
      <c r="B426" t="s">
        <v>875</v>
      </c>
      <c r="C426" t="s">
        <v>84</v>
      </c>
      <c r="D426" s="2">
        <v>1</v>
      </c>
      <c r="E426" s="2">
        <v>51</v>
      </c>
      <c r="F426" s="3">
        <v>0.65100000000000002</v>
      </c>
      <c r="G426" s="3">
        <v>0.13900000000000001</v>
      </c>
      <c r="H426" s="3">
        <v>0.153</v>
      </c>
      <c r="I426" s="4">
        <v>1.1199999999999999E-5</v>
      </c>
      <c r="J426" s="3" t="s">
        <v>67</v>
      </c>
      <c r="K426" s="2">
        <v>90</v>
      </c>
      <c r="L426" s="2">
        <v>152</v>
      </c>
      <c r="M426">
        <f t="shared" ca="1" si="6"/>
        <v>0.27146623619826937</v>
      </c>
    </row>
    <row r="427" spans="1:13" x14ac:dyDescent="0.4">
      <c r="A427" t="s">
        <v>876</v>
      </c>
      <c r="B427" t="s">
        <v>260</v>
      </c>
      <c r="C427" t="s">
        <v>47</v>
      </c>
      <c r="D427" s="2">
        <v>1</v>
      </c>
      <c r="E427" s="2">
        <v>55</v>
      </c>
      <c r="F427" s="3">
        <v>0.35499999999999998</v>
      </c>
      <c r="G427" s="3">
        <v>0.16500000000000001</v>
      </c>
      <c r="H427" s="3">
        <v>1.4800000000000001E-2</v>
      </c>
      <c r="I427" s="3">
        <v>0</v>
      </c>
      <c r="J427" s="3" t="s">
        <v>48</v>
      </c>
      <c r="K427" s="2">
        <v>80</v>
      </c>
      <c r="L427" s="2">
        <v>238</v>
      </c>
      <c r="M427">
        <f t="shared" ca="1" si="6"/>
        <v>0.2002315941759234</v>
      </c>
    </row>
    <row r="428" spans="1:13" x14ac:dyDescent="0.4">
      <c r="A428" t="s">
        <v>877</v>
      </c>
      <c r="B428" t="s">
        <v>878</v>
      </c>
      <c r="C428" t="s">
        <v>47</v>
      </c>
      <c r="D428" s="2">
        <v>19</v>
      </c>
      <c r="E428" s="2">
        <v>70</v>
      </c>
      <c r="F428" s="3">
        <v>0.33400000000000002</v>
      </c>
      <c r="G428" s="3">
        <v>2.7699999999999999E-2</v>
      </c>
      <c r="H428" s="3">
        <v>0.6</v>
      </c>
      <c r="I428" s="4">
        <v>3.7699999999999999E-6</v>
      </c>
      <c r="J428" s="3" t="s">
        <v>67</v>
      </c>
      <c r="K428" s="2">
        <v>179</v>
      </c>
      <c r="L428" s="2">
        <v>336</v>
      </c>
      <c r="M428">
        <f t="shared" ca="1" si="6"/>
        <v>0.90362369729513636</v>
      </c>
    </row>
    <row r="429" spans="1:13" x14ac:dyDescent="0.4">
      <c r="A429" t="s">
        <v>879</v>
      </c>
      <c r="B429" t="s">
        <v>880</v>
      </c>
      <c r="C429" t="s">
        <v>53</v>
      </c>
      <c r="D429" s="2">
        <v>14</v>
      </c>
      <c r="E429" s="2">
        <v>58</v>
      </c>
      <c r="F429" s="3">
        <v>0.81</v>
      </c>
      <c r="G429" s="3">
        <v>0.19400000000000001</v>
      </c>
      <c r="H429" s="3">
        <v>0.40899999999999997</v>
      </c>
      <c r="I429" s="3">
        <v>0</v>
      </c>
      <c r="J429" s="3" t="s">
        <v>48</v>
      </c>
      <c r="K429" s="2">
        <v>93</v>
      </c>
      <c r="L429" s="2">
        <v>223</v>
      </c>
      <c r="M429">
        <f t="shared" ca="1" si="6"/>
        <v>0.25484039381228552</v>
      </c>
    </row>
    <row r="430" spans="1:13" x14ac:dyDescent="0.4">
      <c r="A430" t="s">
        <v>881</v>
      </c>
      <c r="B430" t="s">
        <v>882</v>
      </c>
      <c r="C430" t="s">
        <v>56</v>
      </c>
      <c r="D430" s="2">
        <v>4</v>
      </c>
      <c r="E430" s="2">
        <v>1</v>
      </c>
      <c r="F430" s="3">
        <v>0.67500000000000004</v>
      </c>
      <c r="G430" s="3">
        <v>6.0499999999999998E-2</v>
      </c>
      <c r="H430" s="3">
        <v>2.2000000000000001E-3</v>
      </c>
      <c r="I430" s="3">
        <v>0.221</v>
      </c>
      <c r="J430" s="3" t="s">
        <v>48</v>
      </c>
      <c r="K430" s="2">
        <v>128</v>
      </c>
      <c r="L430" s="2">
        <v>159</v>
      </c>
      <c r="M430">
        <f t="shared" ca="1" si="6"/>
        <v>0.82787959981920756</v>
      </c>
    </row>
    <row r="431" spans="1:13" x14ac:dyDescent="0.4">
      <c r="A431" t="s">
        <v>883</v>
      </c>
      <c r="B431" t="s">
        <v>884</v>
      </c>
      <c r="C431" t="s">
        <v>56</v>
      </c>
      <c r="D431" s="2">
        <v>4</v>
      </c>
      <c r="E431" s="2">
        <v>32</v>
      </c>
      <c r="F431" s="3">
        <v>0.54600000000000004</v>
      </c>
      <c r="G431" s="3">
        <v>4.1599999999999998E-2</v>
      </c>
      <c r="H431" s="3">
        <v>4.4699999999999997E-2</v>
      </c>
      <c r="I431" s="3">
        <v>0</v>
      </c>
      <c r="J431" s="3" t="s">
        <v>48</v>
      </c>
      <c r="K431" s="2">
        <v>128</v>
      </c>
      <c r="L431" s="2">
        <v>218</v>
      </c>
      <c r="M431">
        <f t="shared" ca="1" si="6"/>
        <v>0.14219540438381573</v>
      </c>
    </row>
    <row r="432" spans="1:13" x14ac:dyDescent="0.4">
      <c r="A432" t="s">
        <v>885</v>
      </c>
      <c r="B432" t="s">
        <v>886</v>
      </c>
      <c r="C432" t="s">
        <v>47</v>
      </c>
      <c r="D432" s="2">
        <v>5</v>
      </c>
      <c r="E432" s="2">
        <v>31</v>
      </c>
      <c r="F432" s="3">
        <v>0.54</v>
      </c>
      <c r="G432" s="3">
        <v>4.3099999999999999E-2</v>
      </c>
      <c r="H432" s="3">
        <v>6.5699999999999995E-2</v>
      </c>
      <c r="I432" s="4">
        <v>3.0599999999999998E-5</v>
      </c>
      <c r="J432" s="3" t="s">
        <v>48</v>
      </c>
      <c r="K432" s="2">
        <v>123</v>
      </c>
      <c r="L432" s="2">
        <v>253</v>
      </c>
      <c r="M432">
        <f t="shared" ca="1" si="6"/>
        <v>0.81407140360513686</v>
      </c>
    </row>
    <row r="433" spans="1:13" x14ac:dyDescent="0.4">
      <c r="A433" t="s">
        <v>887</v>
      </c>
      <c r="B433" t="s">
        <v>888</v>
      </c>
      <c r="C433" t="s">
        <v>47</v>
      </c>
      <c r="D433" s="2">
        <v>4</v>
      </c>
      <c r="E433" s="2">
        <v>11</v>
      </c>
      <c r="F433" s="3">
        <v>0.67500000000000004</v>
      </c>
      <c r="G433" s="3">
        <v>5.3999999999999999E-2</v>
      </c>
      <c r="H433" s="3">
        <v>0.189</v>
      </c>
      <c r="I433" s="3">
        <v>0.63300000000000001</v>
      </c>
      <c r="J433" s="3" t="s">
        <v>48</v>
      </c>
      <c r="K433" s="2">
        <v>110</v>
      </c>
      <c r="L433" s="2">
        <v>250</v>
      </c>
      <c r="M433">
        <f t="shared" ca="1" si="6"/>
        <v>0.14854682118484641</v>
      </c>
    </row>
    <row r="434" spans="1:13" x14ac:dyDescent="0.4">
      <c r="A434" t="s">
        <v>889</v>
      </c>
      <c r="B434" t="s">
        <v>890</v>
      </c>
      <c r="C434" t="s">
        <v>84</v>
      </c>
      <c r="D434" s="2">
        <v>26</v>
      </c>
      <c r="E434" s="2">
        <v>56</v>
      </c>
      <c r="F434" s="3">
        <v>0.72399999999999998</v>
      </c>
      <c r="G434" s="3">
        <v>0.309</v>
      </c>
      <c r="H434" s="3">
        <v>6.3299999999999995E-2</v>
      </c>
      <c r="I434" s="4">
        <v>3.68E-5</v>
      </c>
      <c r="J434" s="3" t="s">
        <v>48</v>
      </c>
      <c r="K434" s="2">
        <v>85</v>
      </c>
      <c r="L434" s="2">
        <v>265</v>
      </c>
      <c r="M434">
        <f t="shared" ca="1" si="6"/>
        <v>0.92196677574919872</v>
      </c>
    </row>
    <row r="435" spans="1:13" x14ac:dyDescent="0.4">
      <c r="A435" t="s">
        <v>891</v>
      </c>
      <c r="B435" t="s">
        <v>892</v>
      </c>
      <c r="C435" t="s">
        <v>47</v>
      </c>
      <c r="D435" s="2">
        <v>7</v>
      </c>
      <c r="E435" s="2">
        <v>5</v>
      </c>
      <c r="F435" s="3">
        <v>0.67900000000000005</v>
      </c>
      <c r="G435" s="3">
        <v>4.07E-2</v>
      </c>
      <c r="H435" s="3">
        <v>7.5499999999999998E-2</v>
      </c>
      <c r="I435" s="3">
        <v>0</v>
      </c>
      <c r="J435" s="3" t="s">
        <v>48</v>
      </c>
      <c r="K435" s="2">
        <v>127</v>
      </c>
      <c r="L435" s="2">
        <v>214</v>
      </c>
      <c r="M435">
        <f t="shared" ca="1" si="6"/>
        <v>0.51303356526023824</v>
      </c>
    </row>
    <row r="436" spans="1:13" x14ac:dyDescent="0.4">
      <c r="A436" t="s">
        <v>893</v>
      </c>
      <c r="B436" t="s">
        <v>894</v>
      </c>
      <c r="C436" t="s">
        <v>66</v>
      </c>
      <c r="D436" s="2">
        <v>2</v>
      </c>
      <c r="E436" s="2">
        <v>16</v>
      </c>
      <c r="F436" s="3">
        <v>0.39100000000000001</v>
      </c>
      <c r="G436" s="3">
        <v>4.1099999999999998E-2</v>
      </c>
      <c r="H436" s="3">
        <v>0.91300000000000003</v>
      </c>
      <c r="I436" s="3">
        <v>5.5700000000000003E-3</v>
      </c>
      <c r="J436" s="3" t="s">
        <v>48</v>
      </c>
      <c r="K436" s="2">
        <v>94</v>
      </c>
      <c r="L436" s="2">
        <v>171</v>
      </c>
      <c r="M436">
        <f t="shared" ca="1" si="6"/>
        <v>0.79669115393230572</v>
      </c>
    </row>
    <row r="437" spans="1:13" x14ac:dyDescent="0.4">
      <c r="A437" t="s">
        <v>895</v>
      </c>
      <c r="B437" t="s">
        <v>896</v>
      </c>
      <c r="C437" t="s">
        <v>56</v>
      </c>
      <c r="D437" s="2">
        <v>1</v>
      </c>
      <c r="E437" s="2">
        <v>66</v>
      </c>
      <c r="F437" s="3">
        <v>0.74099999999999999</v>
      </c>
      <c r="G437" s="3">
        <v>3.6700000000000003E-2</v>
      </c>
      <c r="H437" s="3">
        <v>0.14299999999999999</v>
      </c>
      <c r="I437" s="3">
        <v>0</v>
      </c>
      <c r="J437" s="3" t="s">
        <v>48</v>
      </c>
      <c r="K437" s="2">
        <v>126</v>
      </c>
      <c r="L437" s="2">
        <v>175</v>
      </c>
      <c r="M437">
        <f t="shared" ca="1" si="6"/>
        <v>0.33924106208717886</v>
      </c>
    </row>
    <row r="438" spans="1:13" x14ac:dyDescent="0.4">
      <c r="A438" t="s">
        <v>897</v>
      </c>
      <c r="B438" t="s">
        <v>898</v>
      </c>
      <c r="C438" t="s">
        <v>47</v>
      </c>
      <c r="D438" s="2">
        <v>1</v>
      </c>
      <c r="E438" s="2">
        <v>43</v>
      </c>
      <c r="F438" s="3">
        <v>0.40100000000000002</v>
      </c>
      <c r="G438" s="3">
        <v>0.11700000000000001</v>
      </c>
      <c r="H438" s="3">
        <v>0.38900000000000001</v>
      </c>
      <c r="I438" s="3">
        <v>5.7000000000000002E-3</v>
      </c>
      <c r="J438" s="3" t="s">
        <v>67</v>
      </c>
      <c r="K438" s="2">
        <v>147</v>
      </c>
      <c r="L438" s="2">
        <v>169</v>
      </c>
      <c r="M438">
        <f t="shared" ca="1" si="6"/>
        <v>0.81978118977080583</v>
      </c>
    </row>
    <row r="439" spans="1:13" x14ac:dyDescent="0.4">
      <c r="A439" t="s">
        <v>899</v>
      </c>
      <c r="B439" t="s">
        <v>900</v>
      </c>
      <c r="C439" t="s">
        <v>84</v>
      </c>
      <c r="D439" s="2">
        <v>25</v>
      </c>
      <c r="E439" s="2">
        <v>59</v>
      </c>
      <c r="F439" s="3">
        <v>0.86499999999999999</v>
      </c>
      <c r="G439" s="3">
        <v>0.16200000000000001</v>
      </c>
      <c r="H439" s="3">
        <v>6.1100000000000002E-2</v>
      </c>
      <c r="I439" s="4">
        <v>1.07E-4</v>
      </c>
      <c r="J439" s="3" t="s">
        <v>48</v>
      </c>
      <c r="K439" s="2">
        <v>95</v>
      </c>
      <c r="L439" s="2">
        <v>264</v>
      </c>
      <c r="M439">
        <f t="shared" ca="1" si="6"/>
        <v>0.79454898307664557</v>
      </c>
    </row>
    <row r="440" spans="1:13" x14ac:dyDescent="0.4">
      <c r="A440" t="s">
        <v>901</v>
      </c>
      <c r="B440" t="s">
        <v>697</v>
      </c>
      <c r="C440" t="s">
        <v>56</v>
      </c>
      <c r="D440" s="2">
        <v>0</v>
      </c>
      <c r="E440" s="2">
        <v>48</v>
      </c>
      <c r="F440" s="3">
        <v>0.60599999999999998</v>
      </c>
      <c r="G440" s="3">
        <v>6.5199999999999994E-2</v>
      </c>
      <c r="H440" s="3">
        <v>2.2200000000000002E-3</v>
      </c>
      <c r="I440" s="3">
        <v>6.83E-2</v>
      </c>
      <c r="J440" s="3" t="s">
        <v>48</v>
      </c>
      <c r="K440" s="2">
        <v>128</v>
      </c>
      <c r="L440" s="2">
        <v>155</v>
      </c>
      <c r="M440">
        <f t="shared" ca="1" si="6"/>
        <v>0.78977998681830575</v>
      </c>
    </row>
    <row r="441" spans="1:13" x14ac:dyDescent="0.4">
      <c r="A441" t="s">
        <v>902</v>
      </c>
      <c r="B441" t="s">
        <v>903</v>
      </c>
      <c r="C441" t="s">
        <v>53</v>
      </c>
      <c r="D441" s="2">
        <v>1</v>
      </c>
      <c r="E441" s="2">
        <v>75</v>
      </c>
      <c r="F441" s="3">
        <v>0.86599999999999999</v>
      </c>
      <c r="G441" s="3">
        <v>8.4400000000000003E-2</v>
      </c>
      <c r="H441" s="3">
        <v>0.434</v>
      </c>
      <c r="I441" s="4">
        <v>3.0599999999999998E-5</v>
      </c>
      <c r="J441" s="3" t="s">
        <v>48</v>
      </c>
      <c r="K441" s="2">
        <v>95</v>
      </c>
      <c r="L441" s="2">
        <v>239</v>
      </c>
      <c r="M441">
        <f t="shared" ca="1" si="6"/>
        <v>0.75442117052188618</v>
      </c>
    </row>
    <row r="442" spans="1:13" x14ac:dyDescent="0.4">
      <c r="A442" t="s">
        <v>904</v>
      </c>
      <c r="B442" t="s">
        <v>905</v>
      </c>
      <c r="C442" t="s">
        <v>47</v>
      </c>
      <c r="D442" s="2">
        <v>4</v>
      </c>
      <c r="E442" s="2">
        <v>47</v>
      </c>
      <c r="F442" s="3">
        <v>0.38100000000000001</v>
      </c>
      <c r="G442" s="3">
        <v>3.2599999999999997E-2</v>
      </c>
      <c r="H442" s="3">
        <v>4.5700000000000003E-3</v>
      </c>
      <c r="I442" s="3">
        <v>0</v>
      </c>
      <c r="J442" s="3" t="s">
        <v>48</v>
      </c>
      <c r="K442" s="2">
        <v>75</v>
      </c>
      <c r="L442" s="2">
        <v>202</v>
      </c>
      <c r="M442">
        <f t="shared" ca="1" si="6"/>
        <v>0.1513077323457569</v>
      </c>
    </row>
    <row r="443" spans="1:13" x14ac:dyDescent="0.4">
      <c r="A443" t="s">
        <v>906</v>
      </c>
      <c r="B443" t="s">
        <v>907</v>
      </c>
      <c r="C443" t="s">
        <v>61</v>
      </c>
      <c r="D443" s="2">
        <v>42</v>
      </c>
      <c r="E443" s="2">
        <v>51</v>
      </c>
      <c r="F443" s="3">
        <v>0.54600000000000004</v>
      </c>
      <c r="G443" s="3">
        <v>3.2099999999999997E-2</v>
      </c>
      <c r="H443" s="3">
        <v>0.70099999999999996</v>
      </c>
      <c r="I443" s="3">
        <v>0.77300000000000002</v>
      </c>
      <c r="J443" s="3" t="s">
        <v>67</v>
      </c>
      <c r="K443" s="2">
        <v>155</v>
      </c>
      <c r="L443" s="2">
        <v>181</v>
      </c>
      <c r="M443">
        <f t="shared" ca="1" si="6"/>
        <v>0.52337309350412542</v>
      </c>
    </row>
    <row r="444" spans="1:13" x14ac:dyDescent="0.4">
      <c r="A444" t="s">
        <v>908</v>
      </c>
      <c r="B444" t="s">
        <v>146</v>
      </c>
      <c r="C444" t="s">
        <v>47</v>
      </c>
      <c r="D444" s="2">
        <v>5</v>
      </c>
      <c r="E444" s="2">
        <v>17</v>
      </c>
      <c r="F444" s="3">
        <v>0.68899999999999995</v>
      </c>
      <c r="G444" s="3">
        <v>4.5499999999999999E-2</v>
      </c>
      <c r="H444" s="3">
        <v>7.1399999999999996E-3</v>
      </c>
      <c r="I444" s="4">
        <v>4.9899999999999999E-4</v>
      </c>
      <c r="J444" s="3" t="s">
        <v>48</v>
      </c>
      <c r="K444" s="2">
        <v>115</v>
      </c>
      <c r="L444" s="2">
        <v>206</v>
      </c>
      <c r="M444">
        <f t="shared" ca="1" si="6"/>
        <v>0.57171784112490887</v>
      </c>
    </row>
    <row r="445" spans="1:13" x14ac:dyDescent="0.4">
      <c r="A445" t="s">
        <v>909</v>
      </c>
      <c r="B445" t="s">
        <v>910</v>
      </c>
      <c r="C445" t="s">
        <v>66</v>
      </c>
      <c r="D445" s="2">
        <v>4</v>
      </c>
      <c r="E445" s="2">
        <v>34</v>
      </c>
      <c r="F445" s="3">
        <v>0.70399999999999996</v>
      </c>
      <c r="G445" s="3">
        <v>4.3499999999999997E-2</v>
      </c>
      <c r="H445" s="3">
        <v>0.38700000000000001</v>
      </c>
      <c r="I445" s="3">
        <v>0.70199999999999996</v>
      </c>
      <c r="J445" s="3" t="s">
        <v>48</v>
      </c>
      <c r="K445" s="2">
        <v>116</v>
      </c>
      <c r="L445" s="2">
        <v>175</v>
      </c>
      <c r="M445">
        <f t="shared" ca="1" si="6"/>
        <v>0.88944149410723594</v>
      </c>
    </row>
    <row r="446" spans="1:13" x14ac:dyDescent="0.4">
      <c r="A446" t="s">
        <v>911</v>
      </c>
      <c r="B446" t="s">
        <v>912</v>
      </c>
      <c r="C446" t="s">
        <v>47</v>
      </c>
      <c r="D446" s="2">
        <v>2</v>
      </c>
      <c r="E446" s="2">
        <v>4</v>
      </c>
      <c r="F446" s="3">
        <v>0.68100000000000005</v>
      </c>
      <c r="G446" s="3">
        <v>6.5000000000000002E-2</v>
      </c>
      <c r="H446" s="3">
        <v>0.32100000000000001</v>
      </c>
      <c r="I446" s="3">
        <v>0</v>
      </c>
      <c r="J446" s="3" t="s">
        <v>48</v>
      </c>
      <c r="K446" s="2">
        <v>160</v>
      </c>
      <c r="L446" s="2">
        <v>203</v>
      </c>
      <c r="M446">
        <f t="shared" ca="1" si="6"/>
        <v>0.35985254979292602</v>
      </c>
    </row>
    <row r="447" spans="1:13" x14ac:dyDescent="0.4">
      <c r="A447" t="s">
        <v>913</v>
      </c>
      <c r="B447" t="s">
        <v>914</v>
      </c>
      <c r="C447" t="s">
        <v>53</v>
      </c>
      <c r="D447" s="2">
        <v>3</v>
      </c>
      <c r="E447" s="2">
        <v>28</v>
      </c>
      <c r="F447" s="3">
        <v>0.77300000000000002</v>
      </c>
      <c r="G447" s="3">
        <v>8.5800000000000001E-2</v>
      </c>
      <c r="H447" s="3">
        <v>2.66E-3</v>
      </c>
      <c r="I447" s="3">
        <v>7.6899999999999998E-3</v>
      </c>
      <c r="J447" s="3" t="s">
        <v>48</v>
      </c>
      <c r="K447" s="2">
        <v>124</v>
      </c>
      <c r="L447" s="2">
        <v>256</v>
      </c>
      <c r="M447">
        <f t="shared" ca="1" si="6"/>
        <v>4.1320786127661657E-2</v>
      </c>
    </row>
    <row r="448" spans="1:13" x14ac:dyDescent="0.4">
      <c r="A448" t="s">
        <v>915</v>
      </c>
      <c r="B448" t="s">
        <v>916</v>
      </c>
      <c r="C448" t="s">
        <v>56</v>
      </c>
      <c r="D448" s="2">
        <v>7</v>
      </c>
      <c r="E448" s="2">
        <v>1</v>
      </c>
      <c r="F448" s="3">
        <v>0.82</v>
      </c>
      <c r="G448" s="3">
        <v>5.4699999999999999E-2</v>
      </c>
      <c r="H448" s="3">
        <v>3.13E-3</v>
      </c>
      <c r="I448" s="3">
        <v>0.876</v>
      </c>
      <c r="J448" s="3" t="s">
        <v>48</v>
      </c>
      <c r="K448" s="2">
        <v>121</v>
      </c>
      <c r="L448" s="2">
        <v>351</v>
      </c>
      <c r="M448">
        <f t="shared" ca="1" si="6"/>
        <v>0.91727199284870209</v>
      </c>
    </row>
    <row r="449" spans="1:13" x14ac:dyDescent="0.4">
      <c r="A449" t="s">
        <v>917</v>
      </c>
      <c r="B449" t="s">
        <v>918</v>
      </c>
      <c r="C449" t="s">
        <v>56</v>
      </c>
      <c r="D449" s="2">
        <v>6</v>
      </c>
      <c r="E449" s="2">
        <v>9</v>
      </c>
      <c r="F449" s="3">
        <v>0.63200000000000001</v>
      </c>
      <c r="G449" s="3">
        <v>8.2199999999999995E-2</v>
      </c>
      <c r="H449" s="3">
        <v>3.3E-3</v>
      </c>
      <c r="I449" s="3">
        <v>0.38700000000000001</v>
      </c>
      <c r="J449" s="3" t="s">
        <v>48</v>
      </c>
      <c r="K449" s="2">
        <v>128</v>
      </c>
      <c r="L449" s="2">
        <v>274</v>
      </c>
      <c r="M449">
        <f t="shared" ca="1" si="6"/>
        <v>0.22241286296059615</v>
      </c>
    </row>
    <row r="450" spans="1:13" x14ac:dyDescent="0.4">
      <c r="A450" t="s">
        <v>919</v>
      </c>
      <c r="B450" t="s">
        <v>920</v>
      </c>
      <c r="C450" t="s">
        <v>84</v>
      </c>
      <c r="D450" s="2">
        <v>3</v>
      </c>
      <c r="E450" s="2">
        <v>16</v>
      </c>
      <c r="F450" s="3">
        <v>0.73899999999999999</v>
      </c>
      <c r="G450" s="3">
        <v>0.19900000000000001</v>
      </c>
      <c r="H450" s="3">
        <v>4.8000000000000001E-2</v>
      </c>
      <c r="I450" s="4">
        <v>3.4299999999999999E-4</v>
      </c>
      <c r="J450" s="3" t="s">
        <v>48</v>
      </c>
      <c r="K450" s="2">
        <v>95</v>
      </c>
      <c r="L450" s="2">
        <v>174</v>
      </c>
      <c r="M450">
        <f t="shared" ref="M450:M513" ca="1" si="7">RAND()</f>
        <v>0.31179404370544439</v>
      </c>
    </row>
    <row r="451" spans="1:13" x14ac:dyDescent="0.4">
      <c r="A451" t="s">
        <v>921</v>
      </c>
      <c r="B451" t="s">
        <v>922</v>
      </c>
      <c r="C451" t="s">
        <v>66</v>
      </c>
      <c r="D451" s="2">
        <v>31</v>
      </c>
      <c r="E451" s="2">
        <v>32</v>
      </c>
      <c r="F451" s="3">
        <v>0.63200000000000001</v>
      </c>
      <c r="G451" s="3">
        <v>6.5699999999999995E-2</v>
      </c>
      <c r="H451" s="3">
        <v>0.29699999999999999</v>
      </c>
      <c r="I451" s="3">
        <v>0</v>
      </c>
      <c r="J451" s="3" t="s">
        <v>48</v>
      </c>
      <c r="K451" s="2">
        <v>154</v>
      </c>
      <c r="L451" s="2">
        <v>320</v>
      </c>
      <c r="M451">
        <f t="shared" ca="1" si="7"/>
        <v>8.5912934866132384E-2</v>
      </c>
    </row>
    <row r="452" spans="1:13" x14ac:dyDescent="0.4">
      <c r="A452" t="s">
        <v>923</v>
      </c>
      <c r="B452" t="s">
        <v>924</v>
      </c>
      <c r="C452" t="s">
        <v>56</v>
      </c>
      <c r="D452" s="2">
        <v>9</v>
      </c>
      <c r="E452" s="2">
        <v>55</v>
      </c>
      <c r="F452" s="3">
        <v>0.53400000000000003</v>
      </c>
      <c r="G452" s="3">
        <v>3.3599999999999998E-2</v>
      </c>
      <c r="H452" s="3">
        <v>2.3300000000000001E-2</v>
      </c>
      <c r="I452" s="4">
        <v>7.3000000000000004E-6</v>
      </c>
      <c r="J452" s="3" t="s">
        <v>48</v>
      </c>
      <c r="K452" s="2">
        <v>136</v>
      </c>
      <c r="L452" s="2">
        <v>231</v>
      </c>
      <c r="M452">
        <f t="shared" ca="1" si="7"/>
        <v>0.27053741905242956</v>
      </c>
    </row>
    <row r="453" spans="1:13" x14ac:dyDescent="0.4">
      <c r="A453" t="s">
        <v>925</v>
      </c>
      <c r="B453" t="s">
        <v>926</v>
      </c>
      <c r="C453" t="s">
        <v>61</v>
      </c>
      <c r="D453" s="2">
        <v>43</v>
      </c>
      <c r="E453" s="2">
        <v>63</v>
      </c>
      <c r="F453" s="3">
        <v>0.623</v>
      </c>
      <c r="G453" s="3">
        <v>2.8199999999999999E-2</v>
      </c>
      <c r="H453" s="3">
        <v>5.5999999999999999E-3</v>
      </c>
      <c r="I453" s="4">
        <v>4.2499999999999998E-4</v>
      </c>
      <c r="J453" s="3" t="s">
        <v>48</v>
      </c>
      <c r="K453" s="2">
        <v>130</v>
      </c>
      <c r="L453" s="2">
        <v>237</v>
      </c>
      <c r="M453">
        <f t="shared" ca="1" si="7"/>
        <v>0.98610789675467425</v>
      </c>
    </row>
    <row r="454" spans="1:13" x14ac:dyDescent="0.4">
      <c r="A454" t="s">
        <v>927</v>
      </c>
      <c r="B454" t="s">
        <v>928</v>
      </c>
      <c r="C454" t="s">
        <v>61</v>
      </c>
      <c r="D454" s="2">
        <v>1</v>
      </c>
      <c r="E454" s="2">
        <v>45</v>
      </c>
      <c r="F454" s="3">
        <v>0.39700000000000002</v>
      </c>
      <c r="G454" s="3">
        <v>0.107</v>
      </c>
      <c r="H454" s="4">
        <v>9.1199999999999994E-5</v>
      </c>
      <c r="I454" s="4">
        <v>4.0799999999999999E-6</v>
      </c>
      <c r="J454" s="3" t="s">
        <v>48</v>
      </c>
      <c r="K454" s="2">
        <v>168</v>
      </c>
      <c r="L454" s="2">
        <v>191</v>
      </c>
      <c r="M454">
        <f t="shared" ca="1" si="7"/>
        <v>0.63068526390572366</v>
      </c>
    </row>
    <row r="455" spans="1:13" x14ac:dyDescent="0.4">
      <c r="A455" t="s">
        <v>929</v>
      </c>
      <c r="B455" t="s">
        <v>930</v>
      </c>
      <c r="C455" t="s">
        <v>61</v>
      </c>
      <c r="D455" s="2">
        <v>21</v>
      </c>
      <c r="E455" s="2">
        <v>60</v>
      </c>
      <c r="F455" s="3">
        <v>0.48399999999999999</v>
      </c>
      <c r="G455" s="3">
        <v>2.63E-2</v>
      </c>
      <c r="H455" s="3">
        <v>0.97799999999999998</v>
      </c>
      <c r="I455" s="4">
        <v>5.9899999999999999E-5</v>
      </c>
      <c r="J455" s="3" t="s">
        <v>67</v>
      </c>
      <c r="K455" s="2">
        <v>99</v>
      </c>
      <c r="L455" s="2">
        <v>162</v>
      </c>
      <c r="M455">
        <f t="shared" ca="1" si="7"/>
        <v>0.95985917285989319</v>
      </c>
    </row>
    <row r="456" spans="1:13" x14ac:dyDescent="0.4">
      <c r="A456" t="s">
        <v>931</v>
      </c>
      <c r="B456" t="s">
        <v>572</v>
      </c>
      <c r="C456" t="s">
        <v>56</v>
      </c>
      <c r="D456" s="2">
        <v>4</v>
      </c>
      <c r="E456" s="2">
        <v>49</v>
      </c>
      <c r="F456" s="3">
        <v>0.65300000000000002</v>
      </c>
      <c r="G456" s="3">
        <v>9.5899999999999999E-2</v>
      </c>
      <c r="H456" s="3">
        <v>5.6100000000000004E-3</v>
      </c>
      <c r="I456" s="3">
        <v>0.91500000000000004</v>
      </c>
      <c r="J456" s="3" t="s">
        <v>48</v>
      </c>
      <c r="K456" s="2">
        <v>126</v>
      </c>
      <c r="L456" s="2">
        <v>198</v>
      </c>
      <c r="M456">
        <f t="shared" ca="1" si="7"/>
        <v>0.55867152160517819</v>
      </c>
    </row>
    <row r="457" spans="1:13" x14ac:dyDescent="0.4">
      <c r="A457" t="s">
        <v>932</v>
      </c>
      <c r="B457" t="s">
        <v>933</v>
      </c>
      <c r="C457" t="s">
        <v>66</v>
      </c>
      <c r="D457" s="2">
        <v>2</v>
      </c>
      <c r="E457" s="2">
        <v>3</v>
      </c>
      <c r="F457" s="3">
        <v>0.56799999999999995</v>
      </c>
      <c r="G457" s="3">
        <v>0.44700000000000001</v>
      </c>
      <c r="H457" s="3">
        <v>0.32100000000000001</v>
      </c>
      <c r="I457" s="4">
        <v>6.1799999999999995E-4</v>
      </c>
      <c r="J457" s="3" t="s">
        <v>67</v>
      </c>
      <c r="K457" s="2">
        <v>80</v>
      </c>
      <c r="L457" s="2">
        <v>183</v>
      </c>
      <c r="M457">
        <f t="shared" ca="1" si="7"/>
        <v>0.40170464850421683</v>
      </c>
    </row>
    <row r="458" spans="1:13" x14ac:dyDescent="0.4">
      <c r="A458" t="s">
        <v>934</v>
      </c>
      <c r="B458" t="s">
        <v>935</v>
      </c>
      <c r="C458" t="s">
        <v>47</v>
      </c>
      <c r="D458" s="2">
        <v>2</v>
      </c>
      <c r="E458" s="2">
        <v>30</v>
      </c>
      <c r="F458" s="3">
        <v>0.68799999999999994</v>
      </c>
      <c r="G458" s="3">
        <v>0.04</v>
      </c>
      <c r="H458" s="3">
        <v>0.109</v>
      </c>
      <c r="I458" s="4">
        <v>7.7999999999999999E-5</v>
      </c>
      <c r="J458" s="3" t="s">
        <v>48</v>
      </c>
      <c r="K458" s="2">
        <v>130</v>
      </c>
      <c r="L458" s="2">
        <v>224</v>
      </c>
      <c r="M458">
        <f t="shared" ca="1" si="7"/>
        <v>0.50854841355408265</v>
      </c>
    </row>
    <row r="459" spans="1:13" x14ac:dyDescent="0.4">
      <c r="A459" t="s">
        <v>936</v>
      </c>
      <c r="B459" t="s">
        <v>937</v>
      </c>
      <c r="C459" t="s">
        <v>56</v>
      </c>
      <c r="D459" s="2">
        <v>1</v>
      </c>
      <c r="E459" s="2">
        <v>61</v>
      </c>
      <c r="F459" s="3">
        <v>0.52900000000000003</v>
      </c>
      <c r="G459" s="3">
        <v>4.5600000000000002E-2</v>
      </c>
      <c r="H459" s="3">
        <v>0.2</v>
      </c>
      <c r="I459" s="3">
        <v>0</v>
      </c>
      <c r="J459" s="3" t="s">
        <v>48</v>
      </c>
      <c r="K459" s="2">
        <v>142</v>
      </c>
      <c r="L459" s="2">
        <v>152</v>
      </c>
      <c r="M459">
        <f t="shared" ca="1" si="7"/>
        <v>0.60688250807100708</v>
      </c>
    </row>
    <row r="460" spans="1:13" x14ac:dyDescent="0.4">
      <c r="A460" t="s">
        <v>938</v>
      </c>
      <c r="B460" t="s">
        <v>939</v>
      </c>
      <c r="C460" t="s">
        <v>84</v>
      </c>
      <c r="D460" s="2">
        <v>1</v>
      </c>
      <c r="E460" s="2">
        <v>52</v>
      </c>
      <c r="F460" s="3">
        <v>0.80800000000000005</v>
      </c>
      <c r="G460" s="3">
        <v>0.14499999999999999</v>
      </c>
      <c r="H460" s="3">
        <v>0.121</v>
      </c>
      <c r="I460" s="3">
        <v>0</v>
      </c>
      <c r="J460" s="3" t="s">
        <v>48</v>
      </c>
      <c r="K460" s="2">
        <v>91</v>
      </c>
      <c r="L460" s="2">
        <v>180</v>
      </c>
      <c r="M460">
        <f t="shared" ca="1" si="7"/>
        <v>0.70850879729506999</v>
      </c>
    </row>
    <row r="461" spans="1:13" x14ac:dyDescent="0.4">
      <c r="A461" t="s">
        <v>940</v>
      </c>
      <c r="B461" t="s">
        <v>941</v>
      </c>
      <c r="C461" t="s">
        <v>47</v>
      </c>
      <c r="D461" s="2">
        <v>10</v>
      </c>
      <c r="E461" s="2">
        <v>55</v>
      </c>
      <c r="F461" s="3">
        <v>0.38100000000000001</v>
      </c>
      <c r="G461" s="3">
        <v>8.6800000000000002E-2</v>
      </c>
      <c r="H461" s="4">
        <v>9.4899999999999997E-4</v>
      </c>
      <c r="I461" s="4">
        <v>2.9399999999999999E-4</v>
      </c>
      <c r="J461" s="3" t="s">
        <v>48</v>
      </c>
      <c r="K461" s="2">
        <v>156</v>
      </c>
      <c r="L461" s="2">
        <v>143</v>
      </c>
      <c r="M461">
        <f t="shared" ca="1" si="7"/>
        <v>0.85424381599020871</v>
      </c>
    </row>
    <row r="462" spans="1:13" x14ac:dyDescent="0.4">
      <c r="A462" t="s">
        <v>942</v>
      </c>
      <c r="B462" t="s">
        <v>943</v>
      </c>
      <c r="C462" t="s">
        <v>56</v>
      </c>
      <c r="D462" s="2">
        <v>3</v>
      </c>
      <c r="E462" s="2">
        <v>2</v>
      </c>
      <c r="F462" s="3">
        <v>0.58199999999999996</v>
      </c>
      <c r="G462" s="3">
        <v>5.4800000000000001E-2</v>
      </c>
      <c r="H462" s="3">
        <v>0.29599999999999999</v>
      </c>
      <c r="I462" s="4">
        <v>5.4000000000000001E-4</v>
      </c>
      <c r="J462" s="3" t="s">
        <v>48</v>
      </c>
      <c r="K462" s="2">
        <v>126</v>
      </c>
      <c r="L462" s="2">
        <v>193</v>
      </c>
      <c r="M462">
        <f t="shared" ca="1" si="7"/>
        <v>0.12155190041450747</v>
      </c>
    </row>
    <row r="463" spans="1:13" x14ac:dyDescent="0.4">
      <c r="A463" t="s">
        <v>944</v>
      </c>
      <c r="B463" t="s">
        <v>945</v>
      </c>
      <c r="C463" t="s">
        <v>47</v>
      </c>
      <c r="D463" s="2">
        <v>3</v>
      </c>
      <c r="E463" s="2">
        <v>73</v>
      </c>
      <c r="F463" s="3">
        <v>0.66100000000000003</v>
      </c>
      <c r="G463" s="3">
        <v>4.0399999999999998E-2</v>
      </c>
      <c r="H463" s="3">
        <v>0.114</v>
      </c>
      <c r="I463" s="4">
        <v>1.19E-5</v>
      </c>
      <c r="J463" s="3" t="s">
        <v>67</v>
      </c>
      <c r="K463" s="2">
        <v>145</v>
      </c>
      <c r="L463" s="2">
        <v>195</v>
      </c>
      <c r="M463">
        <f t="shared" ca="1" si="7"/>
        <v>0.81740668518910986</v>
      </c>
    </row>
    <row r="464" spans="1:13" x14ac:dyDescent="0.4">
      <c r="A464" t="s">
        <v>946</v>
      </c>
      <c r="B464" t="s">
        <v>947</v>
      </c>
      <c r="C464" t="s">
        <v>84</v>
      </c>
      <c r="D464" s="2">
        <v>16</v>
      </c>
      <c r="E464" s="2">
        <v>11</v>
      </c>
      <c r="F464" s="3">
        <v>0.64300000000000002</v>
      </c>
      <c r="G464" s="3">
        <v>0.50600000000000001</v>
      </c>
      <c r="H464" s="3">
        <v>0.184</v>
      </c>
      <c r="I464" s="3">
        <v>0</v>
      </c>
      <c r="J464" s="3" t="s">
        <v>48</v>
      </c>
      <c r="K464" s="2">
        <v>91</v>
      </c>
      <c r="L464" s="2">
        <v>224</v>
      </c>
      <c r="M464">
        <f t="shared" ca="1" si="7"/>
        <v>0.57922657278543199</v>
      </c>
    </row>
    <row r="465" spans="1:13" x14ac:dyDescent="0.4">
      <c r="A465" t="s">
        <v>948</v>
      </c>
      <c r="B465" t="s">
        <v>841</v>
      </c>
      <c r="C465" t="s">
        <v>61</v>
      </c>
      <c r="D465" s="2">
        <v>33</v>
      </c>
      <c r="E465" s="2">
        <v>53</v>
      </c>
      <c r="F465" s="3">
        <v>0.52100000000000002</v>
      </c>
      <c r="G465" s="3">
        <v>4.6699999999999998E-2</v>
      </c>
      <c r="H465" s="4">
        <v>2.4899999999999998E-4</v>
      </c>
      <c r="I465" s="3">
        <v>1.16E-3</v>
      </c>
      <c r="J465" s="3" t="s">
        <v>48</v>
      </c>
      <c r="K465" s="2">
        <v>82</v>
      </c>
      <c r="L465" s="2">
        <v>397</v>
      </c>
      <c r="M465">
        <f t="shared" ca="1" si="7"/>
        <v>0.7271361328058733</v>
      </c>
    </row>
    <row r="466" spans="1:13" x14ac:dyDescent="0.4">
      <c r="A466" t="s">
        <v>949</v>
      </c>
      <c r="B466" t="s">
        <v>950</v>
      </c>
      <c r="C466" t="s">
        <v>61</v>
      </c>
      <c r="D466" s="2">
        <v>19</v>
      </c>
      <c r="E466" s="2">
        <v>63</v>
      </c>
      <c r="F466" s="3">
        <v>0.48799999999999999</v>
      </c>
      <c r="G466" s="3">
        <v>3.8100000000000002E-2</v>
      </c>
      <c r="H466" s="3">
        <v>1.5399999999999999E-3</v>
      </c>
      <c r="I466" s="4">
        <v>2.4199999999999999E-5</v>
      </c>
      <c r="J466" s="3" t="s">
        <v>48</v>
      </c>
      <c r="K466" s="2">
        <v>88</v>
      </c>
      <c r="L466" s="2">
        <v>197</v>
      </c>
      <c r="M466">
        <f t="shared" ca="1" si="7"/>
        <v>0.40298730667592164</v>
      </c>
    </row>
    <row r="467" spans="1:13" x14ac:dyDescent="0.4">
      <c r="A467" t="s">
        <v>951</v>
      </c>
      <c r="B467" t="s">
        <v>952</v>
      </c>
      <c r="C467" t="s">
        <v>84</v>
      </c>
      <c r="D467" s="2">
        <v>2</v>
      </c>
      <c r="E467" s="2">
        <v>42</v>
      </c>
      <c r="F467" s="3">
        <v>0.58099999999999996</v>
      </c>
      <c r="G467" s="3">
        <v>4.0399999999999998E-2</v>
      </c>
      <c r="H467" s="3">
        <v>7.3299999999999997E-3</v>
      </c>
      <c r="I467" s="3">
        <v>0</v>
      </c>
      <c r="J467" s="3" t="s">
        <v>48</v>
      </c>
      <c r="K467" s="2">
        <v>75</v>
      </c>
      <c r="L467" s="2">
        <v>179</v>
      </c>
      <c r="M467">
        <f t="shared" ca="1" si="7"/>
        <v>1.2014586474425881E-3</v>
      </c>
    </row>
    <row r="468" spans="1:13" x14ac:dyDescent="0.4">
      <c r="A468" t="s">
        <v>953</v>
      </c>
      <c r="B468" t="s">
        <v>954</v>
      </c>
      <c r="C468" t="s">
        <v>53</v>
      </c>
      <c r="D468" s="2">
        <v>1</v>
      </c>
      <c r="E468" s="2">
        <v>50</v>
      </c>
      <c r="F468" s="3">
        <v>0.76900000000000002</v>
      </c>
      <c r="G468" s="3">
        <v>4.0599999999999997E-2</v>
      </c>
      <c r="H468" s="3">
        <v>0.46700000000000003</v>
      </c>
      <c r="I468" s="4">
        <v>2.09E-5</v>
      </c>
      <c r="J468" s="3" t="s">
        <v>48</v>
      </c>
      <c r="K468" s="2">
        <v>103</v>
      </c>
      <c r="L468" s="2">
        <v>221</v>
      </c>
      <c r="M468">
        <f t="shared" ca="1" si="7"/>
        <v>0.84131415106192053</v>
      </c>
    </row>
    <row r="469" spans="1:13" x14ac:dyDescent="0.4">
      <c r="A469" t="s">
        <v>955</v>
      </c>
      <c r="B469" t="s">
        <v>956</v>
      </c>
      <c r="C469" t="s">
        <v>53</v>
      </c>
      <c r="D469" s="2">
        <v>1</v>
      </c>
      <c r="E469" s="2">
        <v>44</v>
      </c>
      <c r="F469" s="3">
        <v>0.41899999999999998</v>
      </c>
      <c r="G469" s="3">
        <v>5.3600000000000002E-2</v>
      </c>
      <c r="H469" s="3">
        <v>0.22700000000000001</v>
      </c>
      <c r="I469" s="3">
        <v>0</v>
      </c>
      <c r="J469" s="3" t="s">
        <v>67</v>
      </c>
      <c r="K469" s="2">
        <v>179</v>
      </c>
      <c r="L469" s="2">
        <v>186</v>
      </c>
      <c r="M469">
        <f t="shared" ca="1" si="7"/>
        <v>0.68638343692430204</v>
      </c>
    </row>
    <row r="470" spans="1:13" x14ac:dyDescent="0.4">
      <c r="A470" t="s">
        <v>957</v>
      </c>
      <c r="B470" t="s">
        <v>958</v>
      </c>
      <c r="C470" t="s">
        <v>47</v>
      </c>
      <c r="D470" s="2">
        <v>6</v>
      </c>
      <c r="E470" s="2">
        <v>79</v>
      </c>
      <c r="F470" s="3">
        <v>0.628</v>
      </c>
      <c r="G470" s="3">
        <v>3.2300000000000002E-2</v>
      </c>
      <c r="H470" s="3">
        <v>9.2999999999999999E-2</v>
      </c>
      <c r="I470" s="4">
        <v>1.6500000000000001E-6</v>
      </c>
      <c r="J470" s="3" t="s">
        <v>48</v>
      </c>
      <c r="K470" s="2">
        <v>125</v>
      </c>
      <c r="L470" s="2">
        <v>197</v>
      </c>
      <c r="M470">
        <f t="shared" ca="1" si="7"/>
        <v>0.59368591126718429</v>
      </c>
    </row>
    <row r="471" spans="1:13" x14ac:dyDescent="0.4">
      <c r="A471" t="s">
        <v>959</v>
      </c>
      <c r="B471" t="s">
        <v>960</v>
      </c>
      <c r="C471" t="s">
        <v>66</v>
      </c>
      <c r="D471" s="2">
        <v>21</v>
      </c>
      <c r="E471" s="2">
        <v>65</v>
      </c>
      <c r="F471" s="3">
        <v>0.70599999999999996</v>
      </c>
      <c r="G471" s="3">
        <v>6.54E-2</v>
      </c>
      <c r="H471" s="3">
        <v>0.11899999999999999</v>
      </c>
      <c r="I471" s="4">
        <v>9.6399999999999999E-5</v>
      </c>
      <c r="J471" s="3" t="s">
        <v>48</v>
      </c>
      <c r="K471" s="2">
        <v>122</v>
      </c>
      <c r="L471" s="2">
        <v>254</v>
      </c>
      <c r="M471">
        <f t="shared" ca="1" si="7"/>
        <v>0.37642023662169088</v>
      </c>
    </row>
    <row r="472" spans="1:13" x14ac:dyDescent="0.4">
      <c r="A472" t="s">
        <v>961</v>
      </c>
      <c r="B472" t="s">
        <v>962</v>
      </c>
      <c r="C472" t="s">
        <v>56</v>
      </c>
      <c r="D472" s="2">
        <v>2</v>
      </c>
      <c r="E472" s="2">
        <v>17</v>
      </c>
      <c r="F472" s="3">
        <v>0.39900000000000002</v>
      </c>
      <c r="G472" s="3">
        <v>0.25</v>
      </c>
      <c r="H472" s="3">
        <v>1.29E-2</v>
      </c>
      <c r="I472" s="3">
        <v>6.0099999999999997E-3</v>
      </c>
      <c r="J472" s="3" t="s">
        <v>48</v>
      </c>
      <c r="K472" s="2">
        <v>170</v>
      </c>
      <c r="L472" s="2">
        <v>164</v>
      </c>
      <c r="M472">
        <f t="shared" ca="1" si="7"/>
        <v>0.90871867251574889</v>
      </c>
    </row>
    <row r="473" spans="1:13" x14ac:dyDescent="0.4">
      <c r="A473" t="s">
        <v>963</v>
      </c>
      <c r="B473" t="s">
        <v>964</v>
      </c>
      <c r="C473" t="s">
        <v>84</v>
      </c>
      <c r="D473" s="2">
        <v>17</v>
      </c>
      <c r="E473" s="2">
        <v>32</v>
      </c>
      <c r="F473" s="3">
        <v>0.77300000000000002</v>
      </c>
      <c r="G473" s="3">
        <v>0.25700000000000001</v>
      </c>
      <c r="H473" s="3">
        <v>0.36899999999999999</v>
      </c>
      <c r="I473" s="3">
        <v>3.0200000000000001E-2</v>
      </c>
      <c r="J473" s="3" t="s">
        <v>48</v>
      </c>
      <c r="K473" s="2">
        <v>102</v>
      </c>
      <c r="L473" s="2">
        <v>189</v>
      </c>
      <c r="M473">
        <f t="shared" ca="1" si="7"/>
        <v>0.47046624336686382</v>
      </c>
    </row>
    <row r="474" spans="1:13" x14ac:dyDescent="0.4">
      <c r="A474" t="s">
        <v>965</v>
      </c>
      <c r="B474" t="s">
        <v>966</v>
      </c>
      <c r="C474" t="s">
        <v>53</v>
      </c>
      <c r="D474" s="2">
        <v>1</v>
      </c>
      <c r="E474" s="2">
        <v>6</v>
      </c>
      <c r="F474" s="3">
        <v>0.64500000000000002</v>
      </c>
      <c r="G474" s="3">
        <v>3.1600000000000003E-2</v>
      </c>
      <c r="H474" s="3">
        <v>0.77700000000000002</v>
      </c>
      <c r="I474" s="4">
        <v>2.4600000000000002E-6</v>
      </c>
      <c r="J474" s="3" t="s">
        <v>67</v>
      </c>
      <c r="K474" s="2">
        <v>138</v>
      </c>
      <c r="L474" s="2">
        <v>199</v>
      </c>
      <c r="M474">
        <f t="shared" ca="1" si="7"/>
        <v>0.57158514095082835</v>
      </c>
    </row>
    <row r="475" spans="1:13" x14ac:dyDescent="0.4">
      <c r="A475" t="s">
        <v>967</v>
      </c>
      <c r="B475" t="s">
        <v>968</v>
      </c>
      <c r="C475" t="s">
        <v>66</v>
      </c>
      <c r="D475" s="2">
        <v>24</v>
      </c>
      <c r="E475" s="2">
        <v>35</v>
      </c>
      <c r="F475" s="3">
        <v>0.876</v>
      </c>
      <c r="G475" s="3">
        <v>5.0599999999999999E-2</v>
      </c>
      <c r="H475" s="3">
        <v>0.48499999999999999</v>
      </c>
      <c r="I475" s="4">
        <v>1.1400000000000001E-6</v>
      </c>
      <c r="J475" s="3" t="s">
        <v>67</v>
      </c>
      <c r="K475" s="2">
        <v>98</v>
      </c>
      <c r="L475" s="2">
        <v>232</v>
      </c>
      <c r="M475">
        <f t="shared" ca="1" si="7"/>
        <v>0.63160509717818003</v>
      </c>
    </row>
    <row r="476" spans="1:13" x14ac:dyDescent="0.4">
      <c r="A476" t="s">
        <v>969</v>
      </c>
      <c r="B476" t="s">
        <v>504</v>
      </c>
      <c r="C476" t="s">
        <v>47</v>
      </c>
      <c r="D476" s="2">
        <v>5</v>
      </c>
      <c r="E476" s="2">
        <v>44</v>
      </c>
      <c r="F476" s="3">
        <v>0.34699999999999998</v>
      </c>
      <c r="G476" s="3">
        <v>5.4899999999999997E-2</v>
      </c>
      <c r="H476" s="3">
        <v>5.9700000000000003E-2</v>
      </c>
      <c r="I476" s="3">
        <v>3.3300000000000003E-2</v>
      </c>
      <c r="J476" s="3" t="s">
        <v>48</v>
      </c>
      <c r="K476" s="2">
        <v>192</v>
      </c>
      <c r="L476" s="2">
        <v>191</v>
      </c>
      <c r="M476">
        <f t="shared" ca="1" si="7"/>
        <v>3.371369505754962E-2</v>
      </c>
    </row>
    <row r="477" spans="1:13" x14ac:dyDescent="0.4">
      <c r="A477" t="s">
        <v>970</v>
      </c>
      <c r="B477" t="s">
        <v>971</v>
      </c>
      <c r="C477" t="s">
        <v>61</v>
      </c>
      <c r="D477" s="2">
        <v>3</v>
      </c>
      <c r="E477" s="2">
        <v>35</v>
      </c>
      <c r="F477" s="3">
        <v>0.253</v>
      </c>
      <c r="G477" s="3">
        <v>6.1600000000000002E-2</v>
      </c>
      <c r="H477" s="4">
        <v>5.9500000000000004E-4</v>
      </c>
      <c r="I477" s="3">
        <v>2.1700000000000001E-3</v>
      </c>
      <c r="J477" s="3" t="s">
        <v>48</v>
      </c>
      <c r="K477" s="2">
        <v>195</v>
      </c>
      <c r="L477" s="2">
        <v>208</v>
      </c>
      <c r="M477">
        <f t="shared" ca="1" si="7"/>
        <v>0.70257892215433082</v>
      </c>
    </row>
    <row r="478" spans="1:13" x14ac:dyDescent="0.4">
      <c r="A478" t="s">
        <v>972</v>
      </c>
      <c r="B478" t="s">
        <v>973</v>
      </c>
      <c r="C478" t="s">
        <v>61</v>
      </c>
      <c r="D478" s="2">
        <v>42</v>
      </c>
      <c r="E478" s="2">
        <v>77</v>
      </c>
      <c r="F478" s="3">
        <v>0.61799999999999999</v>
      </c>
      <c r="G478" s="3">
        <v>0.35799999999999998</v>
      </c>
      <c r="H478" s="3">
        <v>3.8399999999999997E-2</v>
      </c>
      <c r="I478" s="4">
        <v>4.0999999999999997E-6</v>
      </c>
      <c r="J478" s="3" t="s">
        <v>48</v>
      </c>
      <c r="K478" s="2">
        <v>134</v>
      </c>
      <c r="L478" s="2">
        <v>192</v>
      </c>
      <c r="M478">
        <f t="shared" ca="1" si="7"/>
        <v>0.4191844711949233</v>
      </c>
    </row>
    <row r="479" spans="1:13" x14ac:dyDescent="0.4">
      <c r="A479" t="s">
        <v>974</v>
      </c>
      <c r="B479" t="s">
        <v>975</v>
      </c>
      <c r="C479" t="s">
        <v>61</v>
      </c>
      <c r="D479" s="2">
        <v>2</v>
      </c>
      <c r="E479" s="2">
        <v>40</v>
      </c>
      <c r="F479" s="3">
        <v>0.50800000000000001</v>
      </c>
      <c r="G479" s="3">
        <v>6.4100000000000004E-2</v>
      </c>
      <c r="H479" s="4">
        <v>1.4899999999999999E-4</v>
      </c>
      <c r="I479" s="4">
        <v>3.8099999999999998E-5</v>
      </c>
      <c r="J479" s="3" t="s">
        <v>48</v>
      </c>
      <c r="K479" s="2">
        <v>88</v>
      </c>
      <c r="L479" s="2">
        <v>190</v>
      </c>
      <c r="M479">
        <f t="shared" ca="1" si="7"/>
        <v>0.32113761716846223</v>
      </c>
    </row>
    <row r="480" spans="1:13" x14ac:dyDescent="0.4">
      <c r="A480" t="s">
        <v>976</v>
      </c>
      <c r="B480" t="s">
        <v>977</v>
      </c>
      <c r="C480" t="s">
        <v>66</v>
      </c>
      <c r="D480" s="2">
        <v>7</v>
      </c>
      <c r="E480" s="2">
        <v>46</v>
      </c>
      <c r="F480" s="3">
        <v>0.84199999999999997</v>
      </c>
      <c r="G480" s="3">
        <v>0.41299999999999998</v>
      </c>
      <c r="H480" s="3">
        <v>0.59</v>
      </c>
      <c r="I480" s="4">
        <v>1.9300000000000002E-5</v>
      </c>
      <c r="J480" s="3" t="s">
        <v>67</v>
      </c>
      <c r="K480" s="2">
        <v>92</v>
      </c>
      <c r="L480" s="2">
        <v>190</v>
      </c>
      <c r="M480">
        <f t="shared" ca="1" si="7"/>
        <v>0.51989973358802144</v>
      </c>
    </row>
    <row r="481" spans="1:13" x14ac:dyDescent="0.4">
      <c r="A481" t="s">
        <v>978</v>
      </c>
      <c r="B481" t="s">
        <v>979</v>
      </c>
      <c r="C481" t="s">
        <v>56</v>
      </c>
      <c r="D481" s="2">
        <v>1</v>
      </c>
      <c r="E481" s="2">
        <v>44</v>
      </c>
      <c r="F481" s="3">
        <v>0.66200000000000003</v>
      </c>
      <c r="G481" s="3">
        <v>3.4700000000000002E-2</v>
      </c>
      <c r="H481" s="3">
        <v>0.128</v>
      </c>
      <c r="I481" s="3">
        <v>0</v>
      </c>
      <c r="J481" s="3" t="s">
        <v>48</v>
      </c>
      <c r="K481" s="2">
        <v>100</v>
      </c>
      <c r="L481" s="2">
        <v>184</v>
      </c>
      <c r="M481">
        <f t="shared" ca="1" si="7"/>
        <v>0.54986768345227066</v>
      </c>
    </row>
    <row r="482" spans="1:13" x14ac:dyDescent="0.4">
      <c r="A482" t="s">
        <v>980</v>
      </c>
      <c r="B482" t="s">
        <v>981</v>
      </c>
      <c r="C482" t="s">
        <v>84</v>
      </c>
      <c r="D482" s="2">
        <v>19</v>
      </c>
      <c r="E482" s="2">
        <v>54</v>
      </c>
      <c r="F482" s="3">
        <v>0.79200000000000004</v>
      </c>
      <c r="G482" s="3">
        <v>0.24099999999999999</v>
      </c>
      <c r="H482" s="3">
        <v>0.17899999999999999</v>
      </c>
      <c r="I482" s="3">
        <v>0</v>
      </c>
      <c r="J482" s="3" t="s">
        <v>48</v>
      </c>
      <c r="K482" s="2">
        <v>121</v>
      </c>
      <c r="L482" s="2">
        <v>273</v>
      </c>
      <c r="M482">
        <f t="shared" ca="1" si="7"/>
        <v>0.63068449023672313</v>
      </c>
    </row>
    <row r="483" spans="1:13" x14ac:dyDescent="0.4">
      <c r="A483" t="s">
        <v>982</v>
      </c>
      <c r="B483" t="s">
        <v>496</v>
      </c>
      <c r="C483" t="s">
        <v>84</v>
      </c>
      <c r="D483" s="2">
        <v>9</v>
      </c>
      <c r="E483" s="2">
        <v>56</v>
      </c>
      <c r="F483" s="3">
        <v>0.48499999999999999</v>
      </c>
      <c r="G483" s="3">
        <v>5.6800000000000003E-2</v>
      </c>
      <c r="H483" s="4">
        <v>7.76E-4</v>
      </c>
      <c r="I483" s="3">
        <v>2.4399999999999999E-3</v>
      </c>
      <c r="J483" s="3" t="s">
        <v>48</v>
      </c>
      <c r="K483" s="2">
        <v>100</v>
      </c>
      <c r="L483" s="2">
        <v>199</v>
      </c>
      <c r="M483">
        <f t="shared" ca="1" si="7"/>
        <v>0.64456662893692107</v>
      </c>
    </row>
    <row r="484" spans="1:13" x14ac:dyDescent="0.4">
      <c r="A484" t="s">
        <v>983</v>
      </c>
      <c r="B484" t="s">
        <v>984</v>
      </c>
      <c r="C484" t="s">
        <v>47</v>
      </c>
      <c r="D484" s="2">
        <v>2</v>
      </c>
      <c r="E484" s="2">
        <v>75</v>
      </c>
      <c r="F484" s="3">
        <v>0.65200000000000002</v>
      </c>
      <c r="G484" s="3">
        <v>3.5999999999999997E-2</v>
      </c>
      <c r="H484" s="3">
        <v>0.29299999999999998</v>
      </c>
      <c r="I484" s="3">
        <v>0</v>
      </c>
      <c r="J484" s="3" t="s">
        <v>48</v>
      </c>
      <c r="K484" s="2">
        <v>114</v>
      </c>
      <c r="L484" s="2">
        <v>193</v>
      </c>
      <c r="M484">
        <f t="shared" ca="1" si="7"/>
        <v>8.829771320296953E-2</v>
      </c>
    </row>
    <row r="485" spans="1:13" x14ac:dyDescent="0.4">
      <c r="A485" t="s">
        <v>985</v>
      </c>
      <c r="B485" t="s">
        <v>986</v>
      </c>
      <c r="C485" t="s">
        <v>53</v>
      </c>
      <c r="D485" s="2">
        <v>15</v>
      </c>
      <c r="E485" s="2">
        <v>60</v>
      </c>
      <c r="F485" s="3">
        <v>0.83099999999999996</v>
      </c>
      <c r="G485" s="3">
        <v>8.43E-2</v>
      </c>
      <c r="H485" s="3">
        <v>3.8600000000000002E-2</v>
      </c>
      <c r="I485" s="4">
        <v>4.73E-4</v>
      </c>
      <c r="J485" s="3" t="s">
        <v>48</v>
      </c>
      <c r="K485" s="2">
        <v>94</v>
      </c>
      <c r="L485" s="2">
        <v>288</v>
      </c>
      <c r="M485">
        <f t="shared" ca="1" si="7"/>
        <v>0.851518720878784</v>
      </c>
    </row>
    <row r="486" spans="1:13" x14ac:dyDescent="0.4">
      <c r="A486" t="s">
        <v>987</v>
      </c>
      <c r="B486" t="s">
        <v>988</v>
      </c>
      <c r="C486" t="s">
        <v>47</v>
      </c>
      <c r="D486" s="2">
        <v>3</v>
      </c>
      <c r="E486" s="2">
        <v>82</v>
      </c>
      <c r="F486" s="3">
        <v>0.83599999999999997</v>
      </c>
      <c r="G486" s="3">
        <v>9.4299999999999995E-2</v>
      </c>
      <c r="H486" s="3">
        <v>4.0300000000000002E-2</v>
      </c>
      <c r="I486" s="3">
        <v>0</v>
      </c>
      <c r="J486" s="3" t="s">
        <v>48</v>
      </c>
      <c r="K486" s="2">
        <v>97</v>
      </c>
      <c r="L486" s="2">
        <v>218</v>
      </c>
      <c r="M486">
        <f t="shared" ca="1" si="7"/>
        <v>0.16295327266701154</v>
      </c>
    </row>
    <row r="487" spans="1:13" x14ac:dyDescent="0.4">
      <c r="A487" t="s">
        <v>989</v>
      </c>
      <c r="B487" t="s">
        <v>990</v>
      </c>
      <c r="C487" t="s">
        <v>47</v>
      </c>
      <c r="D487" s="2">
        <v>3</v>
      </c>
      <c r="E487" s="2">
        <v>65</v>
      </c>
      <c r="F487" s="3">
        <v>0.58199999999999996</v>
      </c>
      <c r="G487" s="3">
        <v>3.6499999999999998E-2</v>
      </c>
      <c r="H487" s="3">
        <v>7.5399999999999998E-3</v>
      </c>
      <c r="I487" s="4">
        <v>2.0999999999999998E-6</v>
      </c>
      <c r="J487" s="3" t="s">
        <v>48</v>
      </c>
      <c r="K487" s="2">
        <v>100</v>
      </c>
      <c r="L487" s="2">
        <v>261</v>
      </c>
      <c r="M487">
        <f t="shared" ca="1" si="7"/>
        <v>0.68197095682545195</v>
      </c>
    </row>
    <row r="488" spans="1:13" x14ac:dyDescent="0.4">
      <c r="A488" t="s">
        <v>991</v>
      </c>
      <c r="B488" t="s">
        <v>992</v>
      </c>
      <c r="C488" t="s">
        <v>84</v>
      </c>
      <c r="D488" s="2">
        <v>1</v>
      </c>
      <c r="E488" s="2">
        <v>36</v>
      </c>
      <c r="F488" s="3">
        <v>0.78300000000000003</v>
      </c>
      <c r="G488" s="3">
        <v>7.9299999999999995E-2</v>
      </c>
      <c r="H488" s="3">
        <v>2.0799999999999999E-2</v>
      </c>
      <c r="I488" s="3">
        <v>0.34200000000000003</v>
      </c>
      <c r="J488" s="3" t="s">
        <v>48</v>
      </c>
      <c r="K488" s="2">
        <v>150</v>
      </c>
      <c r="L488" s="2">
        <v>224</v>
      </c>
      <c r="M488">
        <f t="shared" ca="1" si="7"/>
        <v>0.84085648314208539</v>
      </c>
    </row>
    <row r="489" spans="1:13" x14ac:dyDescent="0.4">
      <c r="A489" t="s">
        <v>993</v>
      </c>
      <c r="B489" t="s">
        <v>539</v>
      </c>
      <c r="C489" t="s">
        <v>56</v>
      </c>
      <c r="D489" s="2">
        <v>1</v>
      </c>
      <c r="E489" s="2">
        <v>46</v>
      </c>
      <c r="F489" s="3">
        <v>0.72</v>
      </c>
      <c r="G489" s="3">
        <v>7.3499999999999996E-2</v>
      </c>
      <c r="H489" s="3">
        <v>1.06E-3</v>
      </c>
      <c r="I489" s="3">
        <v>4.4099999999999999E-3</v>
      </c>
      <c r="J489" s="3" t="s">
        <v>48</v>
      </c>
      <c r="K489" s="2">
        <v>128</v>
      </c>
      <c r="L489" s="2">
        <v>245</v>
      </c>
      <c r="M489">
        <f t="shared" ca="1" si="7"/>
        <v>0.17186165198871461</v>
      </c>
    </row>
    <row r="490" spans="1:13" x14ac:dyDescent="0.4">
      <c r="A490" t="s">
        <v>994</v>
      </c>
      <c r="B490" t="s">
        <v>995</v>
      </c>
      <c r="C490" t="s">
        <v>61</v>
      </c>
      <c r="D490" s="2">
        <v>13</v>
      </c>
      <c r="E490" s="2">
        <v>58</v>
      </c>
      <c r="F490" s="3">
        <v>0.502</v>
      </c>
      <c r="G490" s="3">
        <v>5.0299999999999997E-2</v>
      </c>
      <c r="H490" s="3">
        <v>1.2699999999999999E-2</v>
      </c>
      <c r="I490" s="3">
        <v>0</v>
      </c>
      <c r="J490" s="3" t="s">
        <v>48</v>
      </c>
      <c r="K490" s="2">
        <v>149</v>
      </c>
      <c r="L490" s="2">
        <v>220</v>
      </c>
      <c r="M490">
        <f t="shared" ca="1" si="7"/>
        <v>0.40395532129209877</v>
      </c>
    </row>
    <row r="491" spans="1:13" x14ac:dyDescent="0.4">
      <c r="A491" t="s">
        <v>996</v>
      </c>
      <c r="B491" t="s">
        <v>997</v>
      </c>
      <c r="C491" t="s">
        <v>84</v>
      </c>
      <c r="D491" s="2">
        <v>1</v>
      </c>
      <c r="E491" s="2">
        <v>19</v>
      </c>
      <c r="F491" s="3">
        <v>0.85699999999999998</v>
      </c>
      <c r="G491" s="3">
        <v>0.192</v>
      </c>
      <c r="H491" s="3">
        <v>0.218</v>
      </c>
      <c r="I491" s="3">
        <v>0</v>
      </c>
      <c r="J491" s="3" t="s">
        <v>48</v>
      </c>
      <c r="K491" s="2">
        <v>104</v>
      </c>
      <c r="L491" s="2">
        <v>263</v>
      </c>
      <c r="M491">
        <f t="shared" ca="1" si="7"/>
        <v>0.85321919739853813</v>
      </c>
    </row>
    <row r="492" spans="1:13" x14ac:dyDescent="0.4">
      <c r="A492" t="s">
        <v>998</v>
      </c>
      <c r="B492" t="s">
        <v>999</v>
      </c>
      <c r="C492" t="s">
        <v>53</v>
      </c>
      <c r="D492" s="2">
        <v>6</v>
      </c>
      <c r="E492" s="2">
        <v>36</v>
      </c>
      <c r="F492" s="3">
        <v>0.71099999999999997</v>
      </c>
      <c r="G492" s="3">
        <v>9.1700000000000004E-2</v>
      </c>
      <c r="H492" s="3">
        <v>0.23100000000000001</v>
      </c>
      <c r="I492" s="4">
        <v>9.8499999999999995E-5</v>
      </c>
      <c r="J492" s="3" t="s">
        <v>48</v>
      </c>
      <c r="K492" s="2">
        <v>176</v>
      </c>
      <c r="L492" s="2">
        <v>258</v>
      </c>
      <c r="M492">
        <f t="shared" ca="1" si="7"/>
        <v>0.79694048706661946</v>
      </c>
    </row>
    <row r="493" spans="1:13" x14ac:dyDescent="0.4">
      <c r="A493" t="s">
        <v>1000</v>
      </c>
      <c r="B493" t="s">
        <v>1001</v>
      </c>
      <c r="C493" t="s">
        <v>53</v>
      </c>
      <c r="D493" s="2">
        <v>1</v>
      </c>
      <c r="E493" s="2">
        <v>71</v>
      </c>
      <c r="F493" s="3">
        <v>0.65800000000000003</v>
      </c>
      <c r="G493" s="3">
        <v>3.5200000000000002E-2</v>
      </c>
      <c r="H493" s="3">
        <v>0.28699999999999998</v>
      </c>
      <c r="I493" s="4">
        <v>1.5299999999999999E-5</v>
      </c>
      <c r="J493" s="3" t="s">
        <v>48</v>
      </c>
      <c r="K493" s="2">
        <v>96</v>
      </c>
      <c r="L493" s="2">
        <v>268</v>
      </c>
      <c r="M493">
        <f t="shared" ca="1" si="7"/>
        <v>0.85207464251606058</v>
      </c>
    </row>
    <row r="494" spans="1:13" x14ac:dyDescent="0.4">
      <c r="A494" t="s">
        <v>1002</v>
      </c>
      <c r="B494" t="s">
        <v>1003</v>
      </c>
      <c r="C494" t="s">
        <v>56</v>
      </c>
      <c r="D494" s="2">
        <v>1</v>
      </c>
      <c r="E494" s="2">
        <v>45</v>
      </c>
      <c r="F494" s="3">
        <v>0.746</v>
      </c>
      <c r="G494" s="3">
        <v>6.0499999999999998E-2</v>
      </c>
      <c r="H494" s="3">
        <v>2.4400000000000002E-2</v>
      </c>
      <c r="I494" s="3">
        <v>0</v>
      </c>
      <c r="J494" s="3" t="s">
        <v>48</v>
      </c>
      <c r="K494" s="2">
        <v>126</v>
      </c>
      <c r="L494" s="2">
        <v>150</v>
      </c>
      <c r="M494">
        <f t="shared" ca="1" si="7"/>
        <v>0.41824787561007948</v>
      </c>
    </row>
    <row r="495" spans="1:13" x14ac:dyDescent="0.4">
      <c r="A495" t="s">
        <v>1004</v>
      </c>
      <c r="B495" t="s">
        <v>1005</v>
      </c>
      <c r="C495" t="s">
        <v>66</v>
      </c>
      <c r="D495" s="2">
        <v>0</v>
      </c>
      <c r="E495" s="2">
        <v>29</v>
      </c>
      <c r="F495" s="3">
        <v>0.27700000000000002</v>
      </c>
      <c r="G495" s="3">
        <v>4.1099999999999998E-2</v>
      </c>
      <c r="H495" s="3">
        <v>1.7299999999999999E-2</v>
      </c>
      <c r="I495" s="3">
        <v>0</v>
      </c>
      <c r="J495" s="3" t="s">
        <v>67</v>
      </c>
      <c r="K495" s="2">
        <v>97</v>
      </c>
      <c r="L495" s="2">
        <v>208</v>
      </c>
      <c r="M495">
        <f t="shared" ca="1" si="7"/>
        <v>0.96632864145792108</v>
      </c>
    </row>
    <row r="496" spans="1:13" x14ac:dyDescent="0.4">
      <c r="A496" t="s">
        <v>1006</v>
      </c>
      <c r="B496" t="s">
        <v>1007</v>
      </c>
      <c r="C496" t="s">
        <v>56</v>
      </c>
      <c r="D496" s="2">
        <v>3</v>
      </c>
      <c r="E496" s="2">
        <v>34</v>
      </c>
      <c r="F496" s="3">
        <v>0.76200000000000001</v>
      </c>
      <c r="G496" s="3">
        <v>0.16300000000000001</v>
      </c>
      <c r="H496" s="3">
        <v>3.7999999999999999E-2</v>
      </c>
      <c r="I496" s="3">
        <v>0</v>
      </c>
      <c r="J496" s="3" t="s">
        <v>48</v>
      </c>
      <c r="K496" s="2">
        <v>150</v>
      </c>
      <c r="L496" s="2">
        <v>189</v>
      </c>
      <c r="M496">
        <f t="shared" ca="1" si="7"/>
        <v>0.31567778225767751</v>
      </c>
    </row>
    <row r="497" spans="1:13" x14ac:dyDescent="0.4">
      <c r="A497" t="s">
        <v>1008</v>
      </c>
      <c r="B497" t="s">
        <v>1009</v>
      </c>
      <c r="C497" t="s">
        <v>84</v>
      </c>
      <c r="D497" s="2">
        <v>20</v>
      </c>
      <c r="E497" s="2">
        <v>52</v>
      </c>
      <c r="F497" s="3">
        <v>0.90900000000000003</v>
      </c>
      <c r="G497" s="3">
        <v>0.26</v>
      </c>
      <c r="H497" s="3">
        <v>5.62E-2</v>
      </c>
      <c r="I497" s="3">
        <v>0</v>
      </c>
      <c r="J497" s="3" t="s">
        <v>48</v>
      </c>
      <c r="K497" s="2">
        <v>98</v>
      </c>
      <c r="L497" s="2">
        <v>220</v>
      </c>
      <c r="M497">
        <f t="shared" ca="1" si="7"/>
        <v>0.39420498551708005</v>
      </c>
    </row>
    <row r="498" spans="1:13" x14ac:dyDescent="0.4">
      <c r="A498" t="s">
        <v>1010</v>
      </c>
      <c r="B498" t="s">
        <v>1011</v>
      </c>
      <c r="C498" t="s">
        <v>56</v>
      </c>
      <c r="D498" s="2">
        <v>1</v>
      </c>
      <c r="E498" s="2">
        <v>25</v>
      </c>
      <c r="F498" s="3">
        <v>0.66</v>
      </c>
      <c r="G498" s="3">
        <v>7.6200000000000004E-2</v>
      </c>
      <c r="H498" s="3">
        <v>0.19800000000000001</v>
      </c>
      <c r="I498" s="3">
        <v>0.52900000000000003</v>
      </c>
      <c r="J498" s="3" t="s">
        <v>48</v>
      </c>
      <c r="K498" s="2">
        <v>128</v>
      </c>
      <c r="L498" s="2">
        <v>167</v>
      </c>
      <c r="M498">
        <f t="shared" ca="1" si="7"/>
        <v>0.85700571330754649</v>
      </c>
    </row>
    <row r="499" spans="1:13" x14ac:dyDescent="0.4">
      <c r="A499" t="s">
        <v>1012</v>
      </c>
      <c r="B499" t="s">
        <v>1013</v>
      </c>
      <c r="C499" t="s">
        <v>61</v>
      </c>
      <c r="D499" s="2">
        <v>2</v>
      </c>
      <c r="E499" s="2">
        <v>59</v>
      </c>
      <c r="F499" s="3">
        <v>0.51900000000000002</v>
      </c>
      <c r="G499" s="3">
        <v>6.6900000000000001E-2</v>
      </c>
      <c r="H499" s="3">
        <v>0.22</v>
      </c>
      <c r="I499" s="3">
        <v>0</v>
      </c>
      <c r="J499" s="3" t="s">
        <v>48</v>
      </c>
      <c r="K499" s="2">
        <v>164</v>
      </c>
      <c r="L499" s="2">
        <v>192</v>
      </c>
      <c r="M499">
        <f t="shared" ca="1" si="7"/>
        <v>0.99110139993515023</v>
      </c>
    </row>
    <row r="500" spans="1:13" x14ac:dyDescent="0.4">
      <c r="A500" t="s">
        <v>1014</v>
      </c>
      <c r="B500" t="s">
        <v>1015</v>
      </c>
      <c r="C500" t="s">
        <v>61</v>
      </c>
      <c r="D500" s="2">
        <v>35</v>
      </c>
      <c r="E500" s="2">
        <v>44</v>
      </c>
      <c r="F500" s="3">
        <v>0.56799999999999995</v>
      </c>
      <c r="G500" s="3">
        <v>3.9899999999999998E-2</v>
      </c>
      <c r="H500" s="3">
        <v>8.1699999999999995E-2</v>
      </c>
      <c r="I500" s="4">
        <v>2.1100000000000001E-5</v>
      </c>
      <c r="J500" s="3" t="s">
        <v>48</v>
      </c>
      <c r="K500" s="2">
        <v>134</v>
      </c>
      <c r="L500" s="2">
        <v>312</v>
      </c>
      <c r="M500">
        <f t="shared" ca="1" si="7"/>
        <v>0.48311359871416037</v>
      </c>
    </row>
    <row r="501" spans="1:13" x14ac:dyDescent="0.4">
      <c r="A501" t="s">
        <v>1016</v>
      </c>
      <c r="B501" t="s">
        <v>1017</v>
      </c>
      <c r="C501" t="s">
        <v>66</v>
      </c>
      <c r="D501" s="2">
        <v>1</v>
      </c>
      <c r="E501" s="2">
        <v>24</v>
      </c>
      <c r="F501" s="3">
        <v>0.82599999999999996</v>
      </c>
      <c r="G501" s="3">
        <v>9.0200000000000002E-2</v>
      </c>
      <c r="H501" s="3">
        <v>0.70799999999999996</v>
      </c>
      <c r="I501" s="4">
        <v>7.6799999999999993E-6</v>
      </c>
      <c r="J501" s="3" t="s">
        <v>48</v>
      </c>
      <c r="K501" s="2">
        <v>119</v>
      </c>
      <c r="L501" s="2">
        <v>174</v>
      </c>
      <c r="M501">
        <f t="shared" ca="1" si="7"/>
        <v>8.5410857342247404E-3</v>
      </c>
    </row>
    <row r="502" spans="1:13" x14ac:dyDescent="0.4">
      <c r="A502" t="s">
        <v>1018</v>
      </c>
      <c r="B502" t="s">
        <v>1019</v>
      </c>
      <c r="C502" t="s">
        <v>53</v>
      </c>
      <c r="D502" s="2">
        <v>1</v>
      </c>
      <c r="E502" s="2">
        <v>30</v>
      </c>
      <c r="F502" s="3">
        <v>0.78200000000000003</v>
      </c>
      <c r="G502" s="3">
        <v>7.5399999999999995E-2</v>
      </c>
      <c r="H502" s="3">
        <v>5.8500000000000003E-2</v>
      </c>
      <c r="I502" s="4">
        <v>8.6899999999999998E-6</v>
      </c>
      <c r="J502" s="3" t="s">
        <v>67</v>
      </c>
      <c r="K502" s="2">
        <v>124</v>
      </c>
      <c r="L502" s="2">
        <v>194</v>
      </c>
      <c r="M502">
        <f t="shared" ca="1" si="7"/>
        <v>0.42737258600125483</v>
      </c>
    </row>
    <row r="503" spans="1:13" x14ac:dyDescent="0.4">
      <c r="A503" t="s">
        <v>1020</v>
      </c>
      <c r="B503" t="s">
        <v>1021</v>
      </c>
      <c r="C503" t="s">
        <v>53</v>
      </c>
      <c r="D503" s="2">
        <v>1</v>
      </c>
      <c r="E503" s="2">
        <v>39</v>
      </c>
      <c r="F503" s="3">
        <v>0.61899999999999999</v>
      </c>
      <c r="G503" s="3">
        <v>3.1399999999999997E-2</v>
      </c>
      <c r="H503" s="3">
        <v>3.4299999999999997E-2</v>
      </c>
      <c r="I503" s="3">
        <v>1.2699999999999999E-2</v>
      </c>
      <c r="J503" s="3" t="s">
        <v>67</v>
      </c>
      <c r="K503" s="2">
        <v>75</v>
      </c>
      <c r="L503" s="2">
        <v>231</v>
      </c>
      <c r="M503">
        <f t="shared" ca="1" si="7"/>
        <v>0.13417102117308743</v>
      </c>
    </row>
    <row r="504" spans="1:13" x14ac:dyDescent="0.4">
      <c r="A504" t="s">
        <v>1022</v>
      </c>
      <c r="B504" t="s">
        <v>1023</v>
      </c>
      <c r="C504" t="s">
        <v>53</v>
      </c>
      <c r="D504" s="2">
        <v>3</v>
      </c>
      <c r="E504" s="2">
        <v>36</v>
      </c>
      <c r="F504" s="3">
        <v>0.79900000000000004</v>
      </c>
      <c r="G504" s="3">
        <v>0.28199999999999997</v>
      </c>
      <c r="H504" s="3">
        <v>0.63</v>
      </c>
      <c r="I504" s="3">
        <v>5.3099999999999996E-3</v>
      </c>
      <c r="J504" s="3" t="s">
        <v>67</v>
      </c>
      <c r="K504" s="2">
        <v>91</v>
      </c>
      <c r="L504" s="2">
        <v>180</v>
      </c>
      <c r="M504">
        <f t="shared" ca="1" si="7"/>
        <v>0.62713018535411469</v>
      </c>
    </row>
    <row r="505" spans="1:13" x14ac:dyDescent="0.4">
      <c r="A505" t="s">
        <v>1024</v>
      </c>
      <c r="B505" t="s">
        <v>1025</v>
      </c>
      <c r="C505" t="s">
        <v>66</v>
      </c>
      <c r="D505" s="2">
        <v>48</v>
      </c>
      <c r="E505" s="2">
        <v>60</v>
      </c>
      <c r="F505" s="3">
        <v>0.61499999999999999</v>
      </c>
      <c r="G505" s="3">
        <v>3.4700000000000002E-2</v>
      </c>
      <c r="H505" s="3">
        <v>0.5</v>
      </c>
      <c r="I505" s="3">
        <v>0.51100000000000001</v>
      </c>
      <c r="J505" s="3" t="s">
        <v>48</v>
      </c>
      <c r="K505" s="2">
        <v>111</v>
      </c>
      <c r="L505" s="2">
        <v>226</v>
      </c>
      <c r="M505">
        <f t="shared" ca="1" si="7"/>
        <v>0.56088377699846936</v>
      </c>
    </row>
    <row r="506" spans="1:13" x14ac:dyDescent="0.4">
      <c r="A506" t="s">
        <v>1026</v>
      </c>
      <c r="B506" t="s">
        <v>1027</v>
      </c>
      <c r="C506" t="s">
        <v>84</v>
      </c>
      <c r="D506" s="2">
        <v>5</v>
      </c>
      <c r="E506" s="2">
        <v>39</v>
      </c>
      <c r="F506" s="3">
        <v>0.15</v>
      </c>
      <c r="G506" s="3">
        <v>3.5900000000000001E-2</v>
      </c>
      <c r="H506" s="3">
        <v>2.12E-2</v>
      </c>
      <c r="I506" s="3">
        <v>0.48299999999999998</v>
      </c>
      <c r="J506" s="3" t="s">
        <v>48</v>
      </c>
      <c r="K506" s="2">
        <v>67</v>
      </c>
      <c r="L506" s="2">
        <v>218</v>
      </c>
      <c r="M506">
        <f t="shared" ca="1" si="7"/>
        <v>5.1964634682947319E-2</v>
      </c>
    </row>
    <row r="507" spans="1:13" x14ac:dyDescent="0.4">
      <c r="A507" t="s">
        <v>1028</v>
      </c>
      <c r="B507" t="s">
        <v>1029</v>
      </c>
      <c r="C507" t="s">
        <v>47</v>
      </c>
      <c r="D507" s="2">
        <v>6</v>
      </c>
      <c r="E507" s="2">
        <v>69</v>
      </c>
      <c r="F507" s="3">
        <v>0.63700000000000001</v>
      </c>
      <c r="G507" s="3">
        <v>3.0200000000000001E-2</v>
      </c>
      <c r="H507" s="3">
        <v>7.7499999999999999E-2</v>
      </c>
      <c r="I507" s="3">
        <v>2.2700000000000001E-2</v>
      </c>
      <c r="J507" s="3" t="s">
        <v>48</v>
      </c>
      <c r="K507" s="2">
        <v>139</v>
      </c>
      <c r="L507" s="2">
        <v>242</v>
      </c>
      <c r="M507">
        <f t="shared" ca="1" si="7"/>
        <v>0.71508378828388197</v>
      </c>
    </row>
    <row r="508" spans="1:13" x14ac:dyDescent="0.4">
      <c r="A508" t="s">
        <v>1030</v>
      </c>
      <c r="B508" t="s">
        <v>1031</v>
      </c>
      <c r="C508" t="s">
        <v>61</v>
      </c>
      <c r="D508" s="2">
        <v>1</v>
      </c>
      <c r="E508" s="2">
        <v>59</v>
      </c>
      <c r="F508" s="3">
        <v>0.35899999999999999</v>
      </c>
      <c r="G508" s="3">
        <v>0.40799999999999997</v>
      </c>
      <c r="H508" s="4">
        <v>4.3899999999999999E-4</v>
      </c>
      <c r="I508" s="3">
        <v>0</v>
      </c>
      <c r="J508" s="3" t="s">
        <v>48</v>
      </c>
      <c r="K508" s="2">
        <v>160</v>
      </c>
      <c r="L508" s="2">
        <v>237</v>
      </c>
      <c r="M508">
        <f t="shared" ca="1" si="7"/>
        <v>0.69716556065135638</v>
      </c>
    </row>
    <row r="509" spans="1:13" x14ac:dyDescent="0.4">
      <c r="A509" t="s">
        <v>1032</v>
      </c>
      <c r="B509" t="s">
        <v>1033</v>
      </c>
      <c r="C509" t="s">
        <v>47</v>
      </c>
      <c r="D509" s="2">
        <v>5</v>
      </c>
      <c r="E509" s="2">
        <v>57</v>
      </c>
      <c r="F509" s="3">
        <v>0.68</v>
      </c>
      <c r="G509" s="3">
        <v>0.33300000000000002</v>
      </c>
      <c r="H509" s="3">
        <v>1.84E-2</v>
      </c>
      <c r="I509" s="3">
        <v>0</v>
      </c>
      <c r="J509" s="3" t="s">
        <v>48</v>
      </c>
      <c r="K509" s="2">
        <v>150</v>
      </c>
      <c r="L509" s="2">
        <v>214</v>
      </c>
      <c r="M509">
        <f t="shared" ca="1" si="7"/>
        <v>0.17048493937387632</v>
      </c>
    </row>
    <row r="510" spans="1:13" x14ac:dyDescent="0.4">
      <c r="A510" t="s">
        <v>1034</v>
      </c>
      <c r="B510" t="s">
        <v>1035</v>
      </c>
      <c r="C510" t="s">
        <v>53</v>
      </c>
      <c r="D510" s="2">
        <v>11</v>
      </c>
      <c r="E510" s="2">
        <v>41</v>
      </c>
      <c r="F510" s="3">
        <v>0.84499999999999997</v>
      </c>
      <c r="G510" s="3">
        <v>5.7799999999999997E-2</v>
      </c>
      <c r="H510" s="3">
        <v>0.14399999999999999</v>
      </c>
      <c r="I510" s="4">
        <v>9.8500000000000006E-6</v>
      </c>
      <c r="J510" s="3" t="s">
        <v>48</v>
      </c>
      <c r="K510" s="2">
        <v>95</v>
      </c>
      <c r="L510" s="2">
        <v>171</v>
      </c>
      <c r="M510">
        <f t="shared" ca="1" si="7"/>
        <v>2.4703014267626666E-2</v>
      </c>
    </row>
    <row r="511" spans="1:13" x14ac:dyDescent="0.4">
      <c r="A511" t="s">
        <v>1036</v>
      </c>
      <c r="B511" t="s">
        <v>1037</v>
      </c>
      <c r="C511" t="s">
        <v>84</v>
      </c>
      <c r="D511" s="2">
        <v>17</v>
      </c>
      <c r="E511" s="2">
        <v>52</v>
      </c>
      <c r="F511" s="3">
        <v>0.66</v>
      </c>
      <c r="G511" s="3">
        <v>0.28899999999999998</v>
      </c>
      <c r="H511" s="3">
        <v>2.9700000000000001E-2</v>
      </c>
      <c r="I511" s="3">
        <v>0</v>
      </c>
      <c r="J511" s="3" t="s">
        <v>48</v>
      </c>
      <c r="K511" s="2">
        <v>87</v>
      </c>
      <c r="L511" s="2">
        <v>269</v>
      </c>
      <c r="M511">
        <f t="shared" ca="1" si="7"/>
        <v>0.59401506857008202</v>
      </c>
    </row>
    <row r="512" spans="1:13" x14ac:dyDescent="0.4">
      <c r="A512" t="s">
        <v>1038</v>
      </c>
      <c r="B512" t="s">
        <v>1039</v>
      </c>
      <c r="C512" t="s">
        <v>66</v>
      </c>
      <c r="D512" s="2">
        <v>13</v>
      </c>
      <c r="E512" s="2">
        <v>4</v>
      </c>
      <c r="F512" s="3">
        <v>0.745</v>
      </c>
      <c r="G512" s="3">
        <v>0.36899999999999999</v>
      </c>
      <c r="H512" s="3">
        <v>0.51600000000000001</v>
      </c>
      <c r="I512" s="3">
        <v>0</v>
      </c>
      <c r="J512" s="3" t="s">
        <v>48</v>
      </c>
      <c r="K512" s="2">
        <v>84</v>
      </c>
      <c r="L512" s="2">
        <v>217</v>
      </c>
      <c r="M512">
        <f t="shared" ca="1" si="7"/>
        <v>0.87691737085734578</v>
      </c>
    </row>
    <row r="513" spans="1:13" x14ac:dyDescent="0.4">
      <c r="A513" t="s">
        <v>1040</v>
      </c>
      <c r="B513" t="s">
        <v>1041</v>
      </c>
      <c r="C513" t="s">
        <v>47</v>
      </c>
      <c r="D513" s="2">
        <v>1</v>
      </c>
      <c r="E513" s="2">
        <v>55</v>
      </c>
      <c r="F513" s="3">
        <v>0.55400000000000005</v>
      </c>
      <c r="G513" s="3">
        <v>2.87E-2</v>
      </c>
      <c r="H513" s="3">
        <v>0.79900000000000004</v>
      </c>
      <c r="I513" s="4">
        <v>1.39E-6</v>
      </c>
      <c r="J513" s="3" t="s">
        <v>67</v>
      </c>
      <c r="K513" s="2">
        <v>86</v>
      </c>
      <c r="L513" s="2">
        <v>202</v>
      </c>
      <c r="M513">
        <f t="shared" ca="1" si="7"/>
        <v>0.28867684926033821</v>
      </c>
    </row>
    <row r="514" spans="1:13" x14ac:dyDescent="0.4">
      <c r="A514" t="s">
        <v>1042</v>
      </c>
      <c r="B514" t="s">
        <v>1043</v>
      </c>
      <c r="C514" t="s">
        <v>84</v>
      </c>
      <c r="D514" s="2">
        <v>3</v>
      </c>
      <c r="E514" s="2">
        <v>44</v>
      </c>
      <c r="F514" s="3">
        <v>0.65500000000000003</v>
      </c>
      <c r="G514" s="3">
        <v>8.6599999999999996E-2</v>
      </c>
      <c r="H514" s="3">
        <v>1.5800000000000002E-2</v>
      </c>
      <c r="I514" s="3">
        <v>0.79700000000000004</v>
      </c>
      <c r="J514" s="3" t="s">
        <v>48</v>
      </c>
      <c r="K514" s="2">
        <v>145</v>
      </c>
      <c r="L514" s="2">
        <v>234</v>
      </c>
      <c r="M514">
        <f t="shared" ref="M514:M577" ca="1" si="8">RAND()</f>
        <v>0.82362960483684633</v>
      </c>
    </row>
    <row r="515" spans="1:13" x14ac:dyDescent="0.4">
      <c r="A515" t="s">
        <v>1044</v>
      </c>
      <c r="B515" t="s">
        <v>1045</v>
      </c>
      <c r="C515" t="s">
        <v>53</v>
      </c>
      <c r="D515" s="2">
        <v>7</v>
      </c>
      <c r="E515" s="2">
        <v>36</v>
      </c>
      <c r="F515" s="3">
        <v>0.625</v>
      </c>
      <c r="G515" s="3">
        <v>4.6899999999999997E-2</v>
      </c>
      <c r="H515" s="3">
        <v>0.32200000000000001</v>
      </c>
      <c r="I515" s="3">
        <v>0</v>
      </c>
      <c r="J515" s="3" t="s">
        <v>48</v>
      </c>
      <c r="K515" s="2">
        <v>170</v>
      </c>
      <c r="L515" s="2">
        <v>231</v>
      </c>
      <c r="M515">
        <f t="shared" ca="1" si="8"/>
        <v>0.82294810872486535</v>
      </c>
    </row>
    <row r="516" spans="1:13" x14ac:dyDescent="0.4">
      <c r="A516" t="s">
        <v>1046</v>
      </c>
      <c r="B516" t="s">
        <v>1047</v>
      </c>
      <c r="C516" t="s">
        <v>84</v>
      </c>
      <c r="D516" s="2">
        <v>16</v>
      </c>
      <c r="E516" s="2">
        <v>47</v>
      </c>
      <c r="F516" s="3">
        <v>0.72399999999999998</v>
      </c>
      <c r="G516" s="3">
        <v>8.72E-2</v>
      </c>
      <c r="H516" s="3">
        <v>1.3899999999999999E-2</v>
      </c>
      <c r="I516" s="3">
        <v>0</v>
      </c>
      <c r="J516" s="3" t="s">
        <v>48</v>
      </c>
      <c r="K516" s="2">
        <v>97</v>
      </c>
      <c r="L516" s="2">
        <v>229</v>
      </c>
      <c r="M516">
        <f t="shared" ca="1" si="8"/>
        <v>4.4038106971020285E-2</v>
      </c>
    </row>
    <row r="517" spans="1:13" x14ac:dyDescent="0.4">
      <c r="A517" t="s">
        <v>1048</v>
      </c>
      <c r="B517" t="s">
        <v>1049</v>
      </c>
      <c r="C517" t="s">
        <v>56</v>
      </c>
      <c r="D517" s="2">
        <v>1</v>
      </c>
      <c r="E517" s="2">
        <v>20</v>
      </c>
      <c r="F517" s="3">
        <v>0.59599999999999997</v>
      </c>
      <c r="G517" s="3">
        <v>3.9399999999999998E-2</v>
      </c>
      <c r="H517" s="3">
        <v>0.13800000000000001</v>
      </c>
      <c r="I517" s="3">
        <v>0.88900000000000001</v>
      </c>
      <c r="J517" s="3" t="s">
        <v>48</v>
      </c>
      <c r="K517" s="2">
        <v>124</v>
      </c>
      <c r="L517" s="2">
        <v>252</v>
      </c>
      <c r="M517">
        <f t="shared" ca="1" si="8"/>
        <v>2.8627810618165883E-2</v>
      </c>
    </row>
    <row r="518" spans="1:13" x14ac:dyDescent="0.4">
      <c r="A518" t="s">
        <v>1050</v>
      </c>
      <c r="B518" t="s">
        <v>1051</v>
      </c>
      <c r="C518" t="s">
        <v>56</v>
      </c>
      <c r="D518" s="2">
        <v>3</v>
      </c>
      <c r="E518" s="2">
        <v>64</v>
      </c>
      <c r="F518" s="3">
        <v>0.75600000000000001</v>
      </c>
      <c r="G518" s="3">
        <v>5.0900000000000001E-2</v>
      </c>
      <c r="H518" s="3">
        <v>0.14199999999999999</v>
      </c>
      <c r="I518" s="4">
        <v>8.2099999999999993E-6</v>
      </c>
      <c r="J518" s="3" t="s">
        <v>48</v>
      </c>
      <c r="K518" s="2">
        <v>114</v>
      </c>
      <c r="L518" s="2">
        <v>181</v>
      </c>
      <c r="M518">
        <f t="shared" ca="1" si="8"/>
        <v>0.52994795347258139</v>
      </c>
    </row>
    <row r="519" spans="1:13" x14ac:dyDescent="0.4">
      <c r="A519" t="s">
        <v>1052</v>
      </c>
      <c r="B519" t="s">
        <v>1053</v>
      </c>
      <c r="C519" t="s">
        <v>47</v>
      </c>
      <c r="D519" s="2">
        <v>1</v>
      </c>
      <c r="E519" s="2">
        <v>57</v>
      </c>
      <c r="F519" s="3">
        <v>0.64</v>
      </c>
      <c r="G519" s="3">
        <v>4.1599999999999998E-2</v>
      </c>
      <c r="H519" s="3">
        <v>5.8799999999999998E-2</v>
      </c>
      <c r="I519" s="4">
        <v>1.9899999999999999E-5</v>
      </c>
      <c r="J519" s="3" t="s">
        <v>48</v>
      </c>
      <c r="K519" s="2">
        <v>124</v>
      </c>
      <c r="L519" s="2">
        <v>194</v>
      </c>
      <c r="M519">
        <f t="shared" ca="1" si="8"/>
        <v>0.6300181287049984</v>
      </c>
    </row>
    <row r="520" spans="1:13" x14ac:dyDescent="0.4">
      <c r="A520" t="s">
        <v>1054</v>
      </c>
      <c r="B520" t="s">
        <v>1055</v>
      </c>
      <c r="C520" t="s">
        <v>47</v>
      </c>
      <c r="D520" s="2">
        <v>5</v>
      </c>
      <c r="E520" s="2">
        <v>66</v>
      </c>
      <c r="F520" s="3">
        <v>0.47799999999999998</v>
      </c>
      <c r="G520" s="3">
        <v>0.126</v>
      </c>
      <c r="H520" s="3">
        <v>7.4899999999999994E-2</v>
      </c>
      <c r="I520" s="3">
        <v>1.0500000000000001E-2</v>
      </c>
      <c r="J520" s="3" t="s">
        <v>48</v>
      </c>
      <c r="K520" s="2">
        <v>140</v>
      </c>
      <c r="L520" s="2">
        <v>190</v>
      </c>
      <c r="M520">
        <f t="shared" ca="1" si="8"/>
        <v>0.84827173859430416</v>
      </c>
    </row>
    <row r="521" spans="1:13" x14ac:dyDescent="0.4">
      <c r="A521" t="s">
        <v>1056</v>
      </c>
      <c r="B521" t="s">
        <v>1057</v>
      </c>
      <c r="C521" t="s">
        <v>53</v>
      </c>
      <c r="D521" s="2">
        <v>1</v>
      </c>
      <c r="E521" s="2">
        <v>60</v>
      </c>
      <c r="F521" s="3">
        <v>0.73699999999999999</v>
      </c>
      <c r="G521" s="3">
        <v>7.4700000000000003E-2</v>
      </c>
      <c r="H521" s="3">
        <v>0.16300000000000001</v>
      </c>
      <c r="I521" s="3">
        <v>0</v>
      </c>
      <c r="J521" s="3" t="s">
        <v>48</v>
      </c>
      <c r="K521" s="2">
        <v>108</v>
      </c>
      <c r="L521" s="2">
        <v>191</v>
      </c>
      <c r="M521">
        <f t="shared" ca="1" si="8"/>
        <v>0.47547963908939095</v>
      </c>
    </row>
    <row r="522" spans="1:13" x14ac:dyDescent="0.4">
      <c r="A522" t="s">
        <v>1058</v>
      </c>
      <c r="B522" t="s">
        <v>1059</v>
      </c>
      <c r="C522" t="s">
        <v>84</v>
      </c>
      <c r="D522" s="2">
        <v>0</v>
      </c>
      <c r="E522" s="2">
        <v>32</v>
      </c>
      <c r="F522" s="3">
        <v>0.39900000000000002</v>
      </c>
      <c r="G522" s="3">
        <v>0.41699999999999998</v>
      </c>
      <c r="H522" s="3">
        <v>0.223</v>
      </c>
      <c r="I522" s="4">
        <v>4.9899999999999997E-6</v>
      </c>
      <c r="J522" s="3" t="s">
        <v>48</v>
      </c>
      <c r="K522" s="2">
        <v>149</v>
      </c>
      <c r="L522" s="2">
        <v>211</v>
      </c>
      <c r="M522">
        <f t="shared" ca="1" si="8"/>
        <v>0.95940072236456764</v>
      </c>
    </row>
    <row r="523" spans="1:13" x14ac:dyDescent="0.4">
      <c r="A523" t="s">
        <v>1060</v>
      </c>
      <c r="B523" t="s">
        <v>1061</v>
      </c>
      <c r="C523" t="s">
        <v>84</v>
      </c>
      <c r="D523" s="2">
        <v>5</v>
      </c>
      <c r="E523" s="2">
        <v>56</v>
      </c>
      <c r="F523" s="3">
        <v>0.77900000000000003</v>
      </c>
      <c r="G523" s="3">
        <v>0.27400000000000002</v>
      </c>
      <c r="H523" s="3">
        <v>3.1099999999999999E-3</v>
      </c>
      <c r="I523" s="3">
        <v>0</v>
      </c>
      <c r="J523" s="3" t="s">
        <v>48</v>
      </c>
      <c r="K523" s="2">
        <v>117</v>
      </c>
      <c r="L523" s="2">
        <v>233</v>
      </c>
      <c r="M523">
        <f t="shared" ca="1" si="8"/>
        <v>0.75503524352362505</v>
      </c>
    </row>
    <row r="524" spans="1:13" x14ac:dyDescent="0.4">
      <c r="A524" t="s">
        <v>1062</v>
      </c>
      <c r="B524" t="s">
        <v>988</v>
      </c>
      <c r="C524" t="s">
        <v>47</v>
      </c>
      <c r="D524" s="2">
        <v>3</v>
      </c>
      <c r="E524" s="2">
        <v>68</v>
      </c>
      <c r="F524" s="3">
        <v>0.66100000000000003</v>
      </c>
      <c r="G524" s="3">
        <v>4.99E-2</v>
      </c>
      <c r="H524" s="3">
        <v>0.11700000000000001</v>
      </c>
      <c r="I524" s="4">
        <v>1.3200000000000001E-5</v>
      </c>
      <c r="J524" s="3" t="s">
        <v>48</v>
      </c>
      <c r="K524" s="2">
        <v>87</v>
      </c>
      <c r="L524" s="2">
        <v>203</v>
      </c>
      <c r="M524">
        <f t="shared" ca="1" si="8"/>
        <v>0.24262832391547473</v>
      </c>
    </row>
    <row r="525" spans="1:13" x14ac:dyDescent="0.4">
      <c r="A525" t="s">
        <v>1063</v>
      </c>
      <c r="B525" t="s">
        <v>1064</v>
      </c>
      <c r="C525" t="s">
        <v>61</v>
      </c>
      <c r="D525" s="2">
        <v>21</v>
      </c>
      <c r="E525" s="2">
        <v>61</v>
      </c>
      <c r="F525" s="3">
        <v>0.48699999999999999</v>
      </c>
      <c r="G525" s="3">
        <v>2.6499999999999999E-2</v>
      </c>
      <c r="H525" s="3">
        <v>0.64700000000000002</v>
      </c>
      <c r="I525" s="3">
        <v>1.8500000000000001E-3</v>
      </c>
      <c r="J525" s="3" t="s">
        <v>67</v>
      </c>
      <c r="K525" s="2">
        <v>139</v>
      </c>
      <c r="L525" s="2">
        <v>237</v>
      </c>
      <c r="M525">
        <f t="shared" ca="1" si="8"/>
        <v>0.51079007634157625</v>
      </c>
    </row>
    <row r="526" spans="1:13" x14ac:dyDescent="0.4">
      <c r="A526" t="s">
        <v>1065</v>
      </c>
      <c r="B526" t="s">
        <v>1066</v>
      </c>
      <c r="C526" t="s">
        <v>61</v>
      </c>
      <c r="D526" s="2">
        <v>16</v>
      </c>
      <c r="E526" s="2">
        <v>49</v>
      </c>
      <c r="F526" s="3">
        <v>0.39700000000000002</v>
      </c>
      <c r="G526" s="3">
        <v>4.87E-2</v>
      </c>
      <c r="H526" s="3">
        <v>0.27100000000000002</v>
      </c>
      <c r="I526" s="4">
        <v>2.8100000000000002E-6</v>
      </c>
      <c r="J526" s="3" t="s">
        <v>67</v>
      </c>
      <c r="K526" s="2">
        <v>94</v>
      </c>
      <c r="L526" s="2">
        <v>325</v>
      </c>
      <c r="M526">
        <f t="shared" ca="1" si="8"/>
        <v>0.77221463382239375</v>
      </c>
    </row>
    <row r="527" spans="1:13" x14ac:dyDescent="0.4">
      <c r="A527" t="s">
        <v>1067</v>
      </c>
      <c r="B527" t="s">
        <v>1068</v>
      </c>
      <c r="C527" t="s">
        <v>84</v>
      </c>
      <c r="D527" s="2">
        <v>2</v>
      </c>
      <c r="E527" s="2">
        <v>49</v>
      </c>
      <c r="F527" s="3">
        <v>0.76</v>
      </c>
      <c r="G527" s="3">
        <v>0.45100000000000001</v>
      </c>
      <c r="H527" s="3">
        <v>0.17799999999999999</v>
      </c>
      <c r="I527" s="3">
        <v>1.35E-2</v>
      </c>
      <c r="J527" s="3" t="s">
        <v>67</v>
      </c>
      <c r="K527" s="2">
        <v>77</v>
      </c>
      <c r="L527" s="2">
        <v>101</v>
      </c>
      <c r="M527">
        <f t="shared" ca="1" si="8"/>
        <v>8.5596076849081992E-2</v>
      </c>
    </row>
    <row r="528" spans="1:13" x14ac:dyDescent="0.4">
      <c r="A528" t="s">
        <v>1069</v>
      </c>
      <c r="B528" t="s">
        <v>1070</v>
      </c>
      <c r="C528" t="s">
        <v>53</v>
      </c>
      <c r="D528" s="2">
        <v>1</v>
      </c>
      <c r="E528" s="2">
        <v>48</v>
      </c>
      <c r="F528" s="3">
        <v>0.874</v>
      </c>
      <c r="G528" s="3">
        <v>0.215</v>
      </c>
      <c r="H528" s="3">
        <v>0.33500000000000002</v>
      </c>
      <c r="I528" s="4">
        <v>1.19E-6</v>
      </c>
      <c r="J528" s="3" t="s">
        <v>48</v>
      </c>
      <c r="K528" s="2">
        <v>98</v>
      </c>
      <c r="L528" s="2">
        <v>172</v>
      </c>
      <c r="M528">
        <f t="shared" ca="1" si="8"/>
        <v>0.46640633324004555</v>
      </c>
    </row>
    <row r="529" spans="1:13" x14ac:dyDescent="0.4">
      <c r="A529" t="s">
        <v>1071</v>
      </c>
      <c r="B529" t="s">
        <v>1072</v>
      </c>
      <c r="C529" t="s">
        <v>56</v>
      </c>
      <c r="D529" s="2">
        <v>1</v>
      </c>
      <c r="E529" s="2">
        <v>30</v>
      </c>
      <c r="F529" s="3">
        <v>0.621</v>
      </c>
      <c r="G529" s="3">
        <v>0.39300000000000002</v>
      </c>
      <c r="H529" s="3">
        <v>0.61499999999999999</v>
      </c>
      <c r="I529" s="3">
        <v>0.13600000000000001</v>
      </c>
      <c r="J529" s="3" t="s">
        <v>67</v>
      </c>
      <c r="K529" s="2">
        <v>120</v>
      </c>
      <c r="L529" s="2">
        <v>201</v>
      </c>
      <c r="M529">
        <f t="shared" ca="1" si="8"/>
        <v>0.71275166009726842</v>
      </c>
    </row>
    <row r="530" spans="1:13" x14ac:dyDescent="0.4">
      <c r="A530" t="s">
        <v>1073</v>
      </c>
      <c r="B530" t="s">
        <v>1074</v>
      </c>
      <c r="C530" t="s">
        <v>66</v>
      </c>
      <c r="D530" s="2">
        <v>5</v>
      </c>
      <c r="E530" s="2">
        <v>2</v>
      </c>
      <c r="F530" s="3">
        <v>0.628</v>
      </c>
      <c r="G530" s="3">
        <v>0.192</v>
      </c>
      <c r="H530" s="3">
        <v>0.61</v>
      </c>
      <c r="I530" s="3">
        <v>6.0899999999999999E-3</v>
      </c>
      <c r="J530" s="3" t="s">
        <v>48</v>
      </c>
      <c r="K530" s="2">
        <v>113</v>
      </c>
      <c r="L530" s="2">
        <v>192</v>
      </c>
      <c r="M530">
        <f t="shared" ca="1" si="8"/>
        <v>0.18017456119208042</v>
      </c>
    </row>
    <row r="531" spans="1:13" x14ac:dyDescent="0.4">
      <c r="A531" t="s">
        <v>1075</v>
      </c>
      <c r="B531" t="s">
        <v>1076</v>
      </c>
      <c r="C531" t="s">
        <v>47</v>
      </c>
      <c r="D531" s="2">
        <v>2</v>
      </c>
      <c r="E531" s="2">
        <v>61</v>
      </c>
      <c r="F531" s="3">
        <v>0.73899999999999999</v>
      </c>
      <c r="G531" s="3">
        <v>0.128</v>
      </c>
      <c r="H531" s="3">
        <v>0.253</v>
      </c>
      <c r="I531" s="4">
        <v>3.86E-4</v>
      </c>
      <c r="J531" s="3" t="s">
        <v>48</v>
      </c>
      <c r="K531" s="2">
        <v>122</v>
      </c>
      <c r="L531" s="2">
        <v>285</v>
      </c>
      <c r="M531">
        <f t="shared" ca="1" si="8"/>
        <v>0.73639102525593969</v>
      </c>
    </row>
    <row r="532" spans="1:13" x14ac:dyDescent="0.4">
      <c r="A532" t="s">
        <v>1077</v>
      </c>
      <c r="B532" t="s">
        <v>1078</v>
      </c>
      <c r="C532" t="s">
        <v>84</v>
      </c>
      <c r="D532" s="2">
        <v>1</v>
      </c>
      <c r="E532" s="2">
        <v>46</v>
      </c>
      <c r="F532" s="3">
        <v>0.66600000000000004</v>
      </c>
      <c r="G532" s="3">
        <v>6.8699999999999997E-2</v>
      </c>
      <c r="H532" s="3">
        <v>1.7000000000000001E-2</v>
      </c>
      <c r="I532" s="3">
        <v>0.86899999999999999</v>
      </c>
      <c r="J532" s="3" t="s">
        <v>48</v>
      </c>
      <c r="K532" s="2">
        <v>148</v>
      </c>
      <c r="L532" s="2">
        <v>143</v>
      </c>
      <c r="M532">
        <f t="shared" ca="1" si="8"/>
        <v>0.11128717996467097</v>
      </c>
    </row>
    <row r="533" spans="1:13" x14ac:dyDescent="0.4">
      <c r="A533" t="s">
        <v>1079</v>
      </c>
      <c r="B533" t="s">
        <v>1080</v>
      </c>
      <c r="C533" t="s">
        <v>84</v>
      </c>
      <c r="D533" s="2">
        <v>1</v>
      </c>
      <c r="E533" s="2">
        <v>8</v>
      </c>
      <c r="F533" s="3">
        <v>0.71599999999999997</v>
      </c>
      <c r="G533" s="3">
        <v>4.3999999999999997E-2</v>
      </c>
      <c r="H533" s="3">
        <v>1.0999999999999999E-2</v>
      </c>
      <c r="I533" s="3">
        <v>0</v>
      </c>
      <c r="J533" s="3" t="s">
        <v>48</v>
      </c>
      <c r="K533" s="2">
        <v>100</v>
      </c>
      <c r="L533" s="2">
        <v>173</v>
      </c>
      <c r="M533">
        <f t="shared" ca="1" si="8"/>
        <v>0.32766222391863564</v>
      </c>
    </row>
    <row r="534" spans="1:13" x14ac:dyDescent="0.4">
      <c r="A534" t="s">
        <v>1081</v>
      </c>
      <c r="B534" t="s">
        <v>510</v>
      </c>
      <c r="C534" t="s">
        <v>84</v>
      </c>
      <c r="D534" s="2">
        <v>5</v>
      </c>
      <c r="E534" s="2">
        <v>1</v>
      </c>
      <c r="F534" s="3">
        <v>0.41499999999999998</v>
      </c>
      <c r="G534" s="3">
        <v>0.13100000000000001</v>
      </c>
      <c r="H534" s="3">
        <v>0.125</v>
      </c>
      <c r="I534" s="3">
        <v>1.7500000000000002E-2</v>
      </c>
      <c r="J534" s="3" t="s">
        <v>48</v>
      </c>
      <c r="K534" s="2">
        <v>94</v>
      </c>
      <c r="L534" s="2">
        <v>377</v>
      </c>
      <c r="M534">
        <f t="shared" ca="1" si="8"/>
        <v>0.22681950237934945</v>
      </c>
    </row>
    <row r="535" spans="1:13" x14ac:dyDescent="0.4">
      <c r="A535" t="s">
        <v>1082</v>
      </c>
      <c r="B535" t="s">
        <v>1083</v>
      </c>
      <c r="C535" t="s">
        <v>53</v>
      </c>
      <c r="D535" s="2">
        <v>4</v>
      </c>
      <c r="E535" s="2">
        <v>46</v>
      </c>
      <c r="F535" s="3">
        <v>0.58099999999999996</v>
      </c>
      <c r="G535" s="3">
        <v>6.2600000000000003E-2</v>
      </c>
      <c r="H535" s="3">
        <v>9.2499999999999999E-2</v>
      </c>
      <c r="I535" s="4">
        <v>1.9599999999999999E-4</v>
      </c>
      <c r="J535" s="3" t="s">
        <v>48</v>
      </c>
      <c r="K535" s="2">
        <v>118</v>
      </c>
      <c r="L535" s="2">
        <v>205</v>
      </c>
      <c r="M535">
        <f t="shared" ca="1" si="8"/>
        <v>0.37513964671287714</v>
      </c>
    </row>
    <row r="536" spans="1:13" x14ac:dyDescent="0.4">
      <c r="A536" t="s">
        <v>1084</v>
      </c>
      <c r="B536" t="s">
        <v>1085</v>
      </c>
      <c r="C536" t="s">
        <v>61</v>
      </c>
      <c r="D536" s="2">
        <v>43</v>
      </c>
      <c r="E536" s="2">
        <v>63</v>
      </c>
      <c r="F536" s="3">
        <v>0.52200000000000002</v>
      </c>
      <c r="G536" s="3">
        <v>5.2400000000000002E-2</v>
      </c>
      <c r="H536" s="3">
        <v>5.1700000000000003E-2</v>
      </c>
      <c r="I536" s="4">
        <v>6.6299999999999999E-5</v>
      </c>
      <c r="J536" s="3" t="s">
        <v>48</v>
      </c>
      <c r="K536" s="2">
        <v>152</v>
      </c>
      <c r="L536" s="2">
        <v>270</v>
      </c>
      <c r="M536">
        <f t="shared" ca="1" si="8"/>
        <v>0.8762873764698409</v>
      </c>
    </row>
    <row r="537" spans="1:13" x14ac:dyDescent="0.4">
      <c r="A537" t="s">
        <v>1086</v>
      </c>
      <c r="B537" t="s">
        <v>1087</v>
      </c>
      <c r="C537" t="s">
        <v>56</v>
      </c>
      <c r="D537" s="2">
        <v>6</v>
      </c>
      <c r="E537" s="2">
        <v>18</v>
      </c>
      <c r="F537" s="3">
        <v>0.82</v>
      </c>
      <c r="G537" s="3">
        <v>5.1700000000000003E-2</v>
      </c>
      <c r="H537" s="4">
        <v>6.5700000000000003E-4</v>
      </c>
      <c r="I537" s="3">
        <v>0.75700000000000001</v>
      </c>
      <c r="J537" s="3" t="s">
        <v>48</v>
      </c>
      <c r="K537" s="2">
        <v>128</v>
      </c>
      <c r="L537" s="2">
        <v>276</v>
      </c>
      <c r="M537">
        <f t="shared" ca="1" si="8"/>
        <v>0.95947265397941861</v>
      </c>
    </row>
    <row r="538" spans="1:13" x14ac:dyDescent="0.4">
      <c r="A538" t="s">
        <v>1088</v>
      </c>
      <c r="B538" t="s">
        <v>1089</v>
      </c>
      <c r="C538" t="s">
        <v>47</v>
      </c>
      <c r="D538" s="2">
        <v>1</v>
      </c>
      <c r="E538" s="2">
        <v>42</v>
      </c>
      <c r="F538" s="3">
        <v>0.63</v>
      </c>
      <c r="G538" s="3">
        <v>3.5200000000000002E-2</v>
      </c>
      <c r="H538" s="3">
        <v>1.9099999999999999E-2</v>
      </c>
      <c r="I538" s="4">
        <v>7.8199999999999997E-6</v>
      </c>
      <c r="J538" s="3" t="s">
        <v>48</v>
      </c>
      <c r="K538" s="2">
        <v>120</v>
      </c>
      <c r="L538" s="2">
        <v>240</v>
      </c>
      <c r="M538">
        <f t="shared" ca="1" si="8"/>
        <v>0.15069992605397908</v>
      </c>
    </row>
    <row r="539" spans="1:13" x14ac:dyDescent="0.4">
      <c r="A539" t="s">
        <v>1090</v>
      </c>
      <c r="B539" t="s">
        <v>1091</v>
      </c>
      <c r="C539" t="s">
        <v>47</v>
      </c>
      <c r="D539" s="2">
        <v>3</v>
      </c>
      <c r="E539" s="2">
        <v>76</v>
      </c>
      <c r="F539" s="3">
        <v>0.69399999999999995</v>
      </c>
      <c r="G539" s="3">
        <v>4.5999999999999999E-2</v>
      </c>
      <c r="H539" s="3">
        <v>0.13300000000000001</v>
      </c>
      <c r="I539" s="3">
        <v>0</v>
      </c>
      <c r="J539" s="3" t="s">
        <v>48</v>
      </c>
      <c r="K539" s="2">
        <v>98</v>
      </c>
      <c r="L539" s="2">
        <v>201</v>
      </c>
      <c r="M539">
        <f t="shared" ca="1" si="8"/>
        <v>0.12181442957079025</v>
      </c>
    </row>
    <row r="540" spans="1:13" x14ac:dyDescent="0.4">
      <c r="A540" t="s">
        <v>1092</v>
      </c>
      <c r="B540" t="s">
        <v>1093</v>
      </c>
      <c r="C540" t="s">
        <v>47</v>
      </c>
      <c r="D540" s="2">
        <v>3</v>
      </c>
      <c r="E540" s="2">
        <v>3</v>
      </c>
      <c r="F540" s="3">
        <v>0.57099999999999995</v>
      </c>
      <c r="G540" s="3">
        <v>0.36199999999999999</v>
      </c>
      <c r="H540" s="3">
        <v>0.19600000000000001</v>
      </c>
      <c r="I540" s="3">
        <v>0</v>
      </c>
      <c r="J540" s="3" t="s">
        <v>48</v>
      </c>
      <c r="K540" s="2">
        <v>76</v>
      </c>
      <c r="L540" s="2">
        <v>196</v>
      </c>
      <c r="M540">
        <f t="shared" ca="1" si="8"/>
        <v>0.44780552385546613</v>
      </c>
    </row>
    <row r="541" spans="1:13" x14ac:dyDescent="0.4">
      <c r="A541" t="s">
        <v>1094</v>
      </c>
      <c r="B541" t="s">
        <v>1095</v>
      </c>
      <c r="C541" t="s">
        <v>66</v>
      </c>
      <c r="D541" s="2">
        <v>4</v>
      </c>
      <c r="E541" s="2">
        <v>17</v>
      </c>
      <c r="F541" s="3">
        <v>0.53400000000000003</v>
      </c>
      <c r="G541" s="3">
        <v>3.6400000000000002E-2</v>
      </c>
      <c r="H541" s="3">
        <v>0.65600000000000003</v>
      </c>
      <c r="I541" s="3">
        <v>2.2599999999999999E-3</v>
      </c>
      <c r="J541" s="3" t="s">
        <v>48</v>
      </c>
      <c r="K541" s="2">
        <v>90</v>
      </c>
      <c r="L541" s="2">
        <v>142</v>
      </c>
      <c r="M541">
        <f t="shared" ca="1" si="8"/>
        <v>0.5615021646893591</v>
      </c>
    </row>
    <row r="542" spans="1:13" x14ac:dyDescent="0.4">
      <c r="A542" t="s">
        <v>1096</v>
      </c>
      <c r="B542" t="s">
        <v>1097</v>
      </c>
      <c r="C542" t="s">
        <v>61</v>
      </c>
      <c r="D542" s="2">
        <v>20</v>
      </c>
      <c r="E542" s="2">
        <v>64</v>
      </c>
      <c r="F542" s="3">
        <v>0.65800000000000003</v>
      </c>
      <c r="G542" s="3">
        <v>9.0399999999999994E-2</v>
      </c>
      <c r="H542" s="3">
        <v>1.8799999999999999E-3</v>
      </c>
      <c r="I542" s="3">
        <v>4.47E-3</v>
      </c>
      <c r="J542" s="3" t="s">
        <v>48</v>
      </c>
      <c r="K542" s="2">
        <v>130</v>
      </c>
      <c r="L542" s="2">
        <v>122</v>
      </c>
      <c r="M542">
        <f t="shared" ca="1" si="8"/>
        <v>0.44351388646913525</v>
      </c>
    </row>
    <row r="543" spans="1:13" x14ac:dyDescent="0.4">
      <c r="A543" t="s">
        <v>1098</v>
      </c>
      <c r="B543" t="s">
        <v>1099</v>
      </c>
      <c r="C543" t="s">
        <v>47</v>
      </c>
      <c r="D543" s="2">
        <v>4</v>
      </c>
      <c r="E543" s="2">
        <v>56</v>
      </c>
      <c r="F543" s="3">
        <v>0.55600000000000005</v>
      </c>
      <c r="G543" s="3">
        <v>2.9899999999999999E-2</v>
      </c>
      <c r="H543" s="3">
        <v>0.46300000000000002</v>
      </c>
      <c r="I543" s="3">
        <v>0</v>
      </c>
      <c r="J543" s="3" t="s">
        <v>48</v>
      </c>
      <c r="K543" s="2">
        <v>135</v>
      </c>
      <c r="L543" s="2">
        <v>270</v>
      </c>
      <c r="M543">
        <f t="shared" ca="1" si="8"/>
        <v>0.47763636025647205</v>
      </c>
    </row>
    <row r="544" spans="1:13" x14ac:dyDescent="0.4">
      <c r="A544" t="s">
        <v>1100</v>
      </c>
      <c r="B544" t="s">
        <v>1101</v>
      </c>
      <c r="C544" t="s">
        <v>66</v>
      </c>
      <c r="D544" s="2">
        <v>1</v>
      </c>
      <c r="E544" s="2">
        <v>14</v>
      </c>
      <c r="F544" s="3">
        <v>0.68500000000000005</v>
      </c>
      <c r="G544" s="3">
        <v>3.39E-2</v>
      </c>
      <c r="H544" s="3">
        <v>0.54300000000000004</v>
      </c>
      <c r="I544" s="4">
        <v>1.2300000000000001E-4</v>
      </c>
      <c r="J544" s="3" t="s">
        <v>48</v>
      </c>
      <c r="K544" s="2">
        <v>96</v>
      </c>
      <c r="L544" s="2">
        <v>164</v>
      </c>
      <c r="M544">
        <f t="shared" ca="1" si="8"/>
        <v>0.18417736201113755</v>
      </c>
    </row>
    <row r="545" spans="1:13" x14ac:dyDescent="0.4">
      <c r="A545" t="s">
        <v>1102</v>
      </c>
      <c r="B545" t="s">
        <v>128</v>
      </c>
      <c r="C545" t="s">
        <v>66</v>
      </c>
      <c r="D545" s="2">
        <v>4</v>
      </c>
      <c r="E545" s="2">
        <v>53</v>
      </c>
      <c r="F545" s="3">
        <v>0.38700000000000001</v>
      </c>
      <c r="G545" s="3">
        <v>0.41199999999999998</v>
      </c>
      <c r="H545" s="3">
        <v>9.98E-2</v>
      </c>
      <c r="I545" s="3">
        <v>0</v>
      </c>
      <c r="J545" s="3" t="s">
        <v>48</v>
      </c>
      <c r="K545" s="2">
        <v>79</v>
      </c>
      <c r="L545" s="2">
        <v>329</v>
      </c>
      <c r="M545">
        <f t="shared" ca="1" si="8"/>
        <v>4.4093369054769349E-2</v>
      </c>
    </row>
    <row r="546" spans="1:13" x14ac:dyDescent="0.4">
      <c r="A546" t="s">
        <v>1103</v>
      </c>
      <c r="B546" t="s">
        <v>1104</v>
      </c>
      <c r="C546" t="s">
        <v>53</v>
      </c>
      <c r="D546" s="2">
        <v>2</v>
      </c>
      <c r="E546" s="2">
        <v>41</v>
      </c>
      <c r="F546" s="3">
        <v>0.51900000000000002</v>
      </c>
      <c r="G546" s="3">
        <v>3.44E-2</v>
      </c>
      <c r="H546" s="3">
        <v>1.8600000000000001E-3</v>
      </c>
      <c r="I546" s="3">
        <v>7.3099999999999997E-3</v>
      </c>
      <c r="J546" s="3" t="s">
        <v>48</v>
      </c>
      <c r="K546" s="2">
        <v>128</v>
      </c>
      <c r="L546" s="2">
        <v>259</v>
      </c>
      <c r="M546">
        <f t="shared" ca="1" si="8"/>
        <v>0.70183255568632985</v>
      </c>
    </row>
    <row r="547" spans="1:13" x14ac:dyDescent="0.4">
      <c r="A547" t="s">
        <v>1105</v>
      </c>
      <c r="B547" t="s">
        <v>1106</v>
      </c>
      <c r="C547" t="s">
        <v>84</v>
      </c>
      <c r="D547" s="2">
        <v>0</v>
      </c>
      <c r="E547" s="2">
        <v>32</v>
      </c>
      <c r="F547" s="3">
        <v>0.51300000000000001</v>
      </c>
      <c r="G547" s="3">
        <v>6.1699999999999998E-2</v>
      </c>
      <c r="H547" s="3">
        <v>1.6800000000000001E-3</v>
      </c>
      <c r="I547" s="3">
        <v>0.34599999999999997</v>
      </c>
      <c r="J547" s="3" t="s">
        <v>48</v>
      </c>
      <c r="K547" s="2">
        <v>160</v>
      </c>
      <c r="L547" s="2">
        <v>231</v>
      </c>
      <c r="M547">
        <f t="shared" ca="1" si="8"/>
        <v>0.21356942983906213</v>
      </c>
    </row>
    <row r="548" spans="1:13" x14ac:dyDescent="0.4">
      <c r="A548" t="s">
        <v>1107</v>
      </c>
      <c r="B548" t="s">
        <v>1108</v>
      </c>
      <c r="C548" t="s">
        <v>84</v>
      </c>
      <c r="D548" s="2">
        <v>5</v>
      </c>
      <c r="E548" s="2">
        <v>34</v>
      </c>
      <c r="F548" s="3">
        <v>0.42799999999999999</v>
      </c>
      <c r="G548" s="3">
        <v>4.5699999999999998E-2</v>
      </c>
      <c r="H548" s="3">
        <v>7.2500000000000004E-3</v>
      </c>
      <c r="I548" s="4">
        <v>1.8600000000000001E-5</v>
      </c>
      <c r="J548" s="3" t="s">
        <v>48</v>
      </c>
      <c r="K548" s="2">
        <v>126</v>
      </c>
      <c r="L548" s="2">
        <v>283</v>
      </c>
      <c r="M548">
        <f t="shared" ca="1" si="8"/>
        <v>0.50905653532639827</v>
      </c>
    </row>
    <row r="549" spans="1:13" x14ac:dyDescent="0.4">
      <c r="A549" t="s">
        <v>1109</v>
      </c>
      <c r="B549" t="s">
        <v>1110</v>
      </c>
      <c r="C549" t="s">
        <v>53</v>
      </c>
      <c r="D549" s="2">
        <v>1</v>
      </c>
      <c r="E549" s="2">
        <v>47</v>
      </c>
      <c r="F549" s="3">
        <v>0.58699999999999997</v>
      </c>
      <c r="G549" s="3">
        <v>3.6600000000000001E-2</v>
      </c>
      <c r="H549" s="3">
        <v>1.3899999999999999E-2</v>
      </c>
      <c r="I549" s="4">
        <v>1.7000000000000001E-4</v>
      </c>
      <c r="J549" s="3" t="s">
        <v>48</v>
      </c>
      <c r="K549" s="2">
        <v>100</v>
      </c>
      <c r="L549" s="2">
        <v>227</v>
      </c>
      <c r="M549">
        <f t="shared" ca="1" si="8"/>
        <v>0.7580191366742437</v>
      </c>
    </row>
    <row r="550" spans="1:13" x14ac:dyDescent="0.4">
      <c r="A550" t="s">
        <v>1111</v>
      </c>
      <c r="B550" t="s">
        <v>1112</v>
      </c>
      <c r="C550" t="s">
        <v>84</v>
      </c>
      <c r="D550" s="2">
        <v>3</v>
      </c>
      <c r="E550" s="2">
        <v>59</v>
      </c>
      <c r="F550" s="3">
        <v>0.72099999999999997</v>
      </c>
      <c r="G550" s="3">
        <v>0.372</v>
      </c>
      <c r="H550" s="3">
        <v>0.371</v>
      </c>
      <c r="I550" s="3">
        <v>0</v>
      </c>
      <c r="J550" s="3" t="s">
        <v>48</v>
      </c>
      <c r="K550" s="2">
        <v>144</v>
      </c>
      <c r="L550" s="2">
        <v>216</v>
      </c>
      <c r="M550">
        <f t="shared" ca="1" si="8"/>
        <v>0.77729022458726416</v>
      </c>
    </row>
    <row r="551" spans="1:13" x14ac:dyDescent="0.4">
      <c r="A551" t="s">
        <v>1113</v>
      </c>
      <c r="B551" t="s">
        <v>1114</v>
      </c>
      <c r="C551" t="s">
        <v>84</v>
      </c>
      <c r="D551" s="2">
        <v>0</v>
      </c>
      <c r="E551" s="2">
        <v>44</v>
      </c>
      <c r="F551" s="3">
        <v>0.79600000000000004</v>
      </c>
      <c r="G551" s="3">
        <v>0.17399999999999999</v>
      </c>
      <c r="H551" s="3">
        <v>0.17100000000000001</v>
      </c>
      <c r="I551" s="3">
        <v>0</v>
      </c>
      <c r="J551" s="3" t="s">
        <v>48</v>
      </c>
      <c r="K551" s="2">
        <v>176</v>
      </c>
      <c r="L551" s="2">
        <v>172</v>
      </c>
      <c r="M551">
        <f t="shared" ca="1" si="8"/>
        <v>0.80589573469864095</v>
      </c>
    </row>
    <row r="552" spans="1:13" x14ac:dyDescent="0.4">
      <c r="A552" t="s">
        <v>1115</v>
      </c>
      <c r="B552" t="s">
        <v>1116</v>
      </c>
      <c r="C552" t="s">
        <v>66</v>
      </c>
      <c r="D552" s="2">
        <v>2</v>
      </c>
      <c r="E552" s="2">
        <v>62</v>
      </c>
      <c r="F552" s="3">
        <v>0.51600000000000001</v>
      </c>
      <c r="G552" s="3">
        <v>0.48599999999999999</v>
      </c>
      <c r="H552" s="3">
        <v>3.2199999999999999E-2</v>
      </c>
      <c r="I552" s="3">
        <v>0</v>
      </c>
      <c r="J552" s="3" t="s">
        <v>48</v>
      </c>
      <c r="K552" s="2">
        <v>99</v>
      </c>
      <c r="L552" s="2">
        <v>208</v>
      </c>
      <c r="M552">
        <f t="shared" ca="1" si="8"/>
        <v>0.57950344356867212</v>
      </c>
    </row>
    <row r="553" spans="1:13" x14ac:dyDescent="0.4">
      <c r="A553" t="s">
        <v>1117</v>
      </c>
      <c r="B553" t="s">
        <v>1118</v>
      </c>
      <c r="C553" t="s">
        <v>66</v>
      </c>
      <c r="D553" s="2">
        <v>47</v>
      </c>
      <c r="E553" s="2">
        <v>54</v>
      </c>
      <c r="F553" s="3">
        <v>0.623</v>
      </c>
      <c r="G553" s="3">
        <v>4.7899999999999998E-2</v>
      </c>
      <c r="H553" s="3">
        <v>1.95E-2</v>
      </c>
      <c r="I553" s="3">
        <v>0.13</v>
      </c>
      <c r="J553" s="3" t="s">
        <v>48</v>
      </c>
      <c r="K553" s="2">
        <v>111</v>
      </c>
      <c r="L553" s="2">
        <v>280</v>
      </c>
      <c r="M553">
        <f t="shared" ca="1" si="8"/>
        <v>9.4429648717596737E-2</v>
      </c>
    </row>
    <row r="554" spans="1:13" x14ac:dyDescent="0.4">
      <c r="A554" t="s">
        <v>1119</v>
      </c>
      <c r="B554" t="s">
        <v>1120</v>
      </c>
      <c r="C554" t="s">
        <v>61</v>
      </c>
      <c r="D554" s="2">
        <v>22</v>
      </c>
      <c r="E554" s="2">
        <v>19</v>
      </c>
      <c r="F554" s="3">
        <v>0.749</v>
      </c>
      <c r="G554" s="3">
        <v>3.3399999999999999E-2</v>
      </c>
      <c r="H554" s="3">
        <v>5.5199999999999999E-2</v>
      </c>
      <c r="I554" s="4">
        <v>5.6899999999999995E-4</v>
      </c>
      <c r="J554" s="3" t="s">
        <v>48</v>
      </c>
      <c r="K554" s="2">
        <v>124</v>
      </c>
      <c r="L554" s="2">
        <v>207</v>
      </c>
      <c r="M554">
        <f t="shared" ca="1" si="8"/>
        <v>0.47078526451376845</v>
      </c>
    </row>
    <row r="555" spans="1:13" x14ac:dyDescent="0.4">
      <c r="A555" t="s">
        <v>1121</v>
      </c>
      <c r="B555" t="s">
        <v>1122</v>
      </c>
      <c r="C555" t="s">
        <v>61</v>
      </c>
      <c r="D555" s="2">
        <v>1</v>
      </c>
      <c r="E555" s="2">
        <v>27</v>
      </c>
      <c r="F555" s="3">
        <v>0.60899999999999999</v>
      </c>
      <c r="G555" s="3">
        <v>3.8199999999999998E-2</v>
      </c>
      <c r="H555" s="3">
        <v>5.3299999999999997E-3</v>
      </c>
      <c r="I555" s="4">
        <v>2.1500000000000002E-6</v>
      </c>
      <c r="J555" s="3" t="s">
        <v>48</v>
      </c>
      <c r="K555" s="2">
        <v>97</v>
      </c>
      <c r="L555" s="2">
        <v>231</v>
      </c>
      <c r="M555">
        <f t="shared" ca="1" si="8"/>
        <v>0.84282673668616692</v>
      </c>
    </row>
    <row r="556" spans="1:13" x14ac:dyDescent="0.4">
      <c r="A556" t="s">
        <v>1123</v>
      </c>
      <c r="B556" t="s">
        <v>1124</v>
      </c>
      <c r="C556" t="s">
        <v>84</v>
      </c>
      <c r="D556" s="2">
        <v>6</v>
      </c>
      <c r="E556" s="2">
        <v>40</v>
      </c>
      <c r="F556" s="3">
        <v>0.69799999999999995</v>
      </c>
      <c r="G556" s="3">
        <v>0.28299999999999997</v>
      </c>
      <c r="H556" s="3">
        <v>0.17399999999999999</v>
      </c>
      <c r="I556" s="3">
        <v>0</v>
      </c>
      <c r="J556" s="3" t="s">
        <v>67</v>
      </c>
      <c r="K556" s="2">
        <v>134</v>
      </c>
      <c r="L556" s="2">
        <v>192</v>
      </c>
      <c r="M556">
        <f t="shared" ca="1" si="8"/>
        <v>6.8341613288360303E-2</v>
      </c>
    </row>
    <row r="557" spans="1:13" x14ac:dyDescent="0.4">
      <c r="A557" t="s">
        <v>1125</v>
      </c>
      <c r="B557" t="s">
        <v>1126</v>
      </c>
      <c r="C557" t="s">
        <v>53</v>
      </c>
      <c r="D557" s="2">
        <v>1</v>
      </c>
      <c r="E557" s="2">
        <v>40</v>
      </c>
      <c r="F557" s="3">
        <v>0.57999999999999996</v>
      </c>
      <c r="G557" s="3">
        <v>7.8799999999999995E-2</v>
      </c>
      <c r="H557" s="3">
        <v>0.90900000000000003</v>
      </c>
      <c r="I557" s="3">
        <v>2.6499999999999999E-2</v>
      </c>
      <c r="J557" s="3" t="s">
        <v>67</v>
      </c>
      <c r="K557" s="2">
        <v>158</v>
      </c>
      <c r="L557" s="2">
        <v>137</v>
      </c>
      <c r="M557">
        <f t="shared" ca="1" si="8"/>
        <v>0.29960512594415378</v>
      </c>
    </row>
    <row r="558" spans="1:13" x14ac:dyDescent="0.4">
      <c r="A558" t="s">
        <v>1127</v>
      </c>
      <c r="B558" t="s">
        <v>1128</v>
      </c>
      <c r="C558" t="s">
        <v>66</v>
      </c>
      <c r="D558" s="2">
        <v>8</v>
      </c>
      <c r="E558" s="2">
        <v>21</v>
      </c>
      <c r="F558" s="3">
        <v>0.48099999999999998</v>
      </c>
      <c r="G558" s="3">
        <v>0.159</v>
      </c>
      <c r="H558" s="3">
        <v>0.16600000000000001</v>
      </c>
      <c r="I558" s="3">
        <v>0</v>
      </c>
      <c r="J558" s="3" t="s">
        <v>48</v>
      </c>
      <c r="K558" s="2">
        <v>89</v>
      </c>
      <c r="L558" s="2">
        <v>226</v>
      </c>
      <c r="M558">
        <f t="shared" ca="1" si="8"/>
        <v>0.17165563457996147</v>
      </c>
    </row>
    <row r="559" spans="1:13" x14ac:dyDescent="0.4">
      <c r="A559" t="s">
        <v>1129</v>
      </c>
      <c r="B559" t="s">
        <v>1130</v>
      </c>
      <c r="C559" t="s">
        <v>66</v>
      </c>
      <c r="D559" s="2">
        <v>1</v>
      </c>
      <c r="E559" s="2">
        <v>41</v>
      </c>
      <c r="F559" s="3">
        <v>0.53500000000000003</v>
      </c>
      <c r="G559" s="3">
        <v>4.7300000000000002E-2</v>
      </c>
      <c r="H559" s="3">
        <v>0.41499999999999998</v>
      </c>
      <c r="I559" s="4">
        <v>8.4699999999999999E-4</v>
      </c>
      <c r="J559" s="3" t="s">
        <v>48</v>
      </c>
      <c r="K559" s="2">
        <v>99</v>
      </c>
      <c r="L559" s="2">
        <v>185</v>
      </c>
      <c r="M559">
        <f t="shared" ca="1" si="8"/>
        <v>0.54599746116707715</v>
      </c>
    </row>
    <row r="560" spans="1:13" x14ac:dyDescent="0.4">
      <c r="A560" t="s">
        <v>1131</v>
      </c>
      <c r="B560" t="s">
        <v>1132</v>
      </c>
      <c r="C560" t="s">
        <v>84</v>
      </c>
      <c r="D560" s="2">
        <v>1</v>
      </c>
      <c r="E560" s="2">
        <v>54</v>
      </c>
      <c r="F560" s="3">
        <v>0.72199999999999998</v>
      </c>
      <c r="G560" s="3">
        <v>0.17899999999999999</v>
      </c>
      <c r="H560" s="3">
        <v>0.46899999999999997</v>
      </c>
      <c r="I560" s="4">
        <v>1.3900000000000001E-5</v>
      </c>
      <c r="J560" s="3" t="s">
        <v>48</v>
      </c>
      <c r="K560" s="2">
        <v>158</v>
      </c>
      <c r="L560" s="2">
        <v>200</v>
      </c>
      <c r="M560">
        <f t="shared" ca="1" si="8"/>
        <v>0.45052119829658588</v>
      </c>
    </row>
    <row r="561" spans="1:13" x14ac:dyDescent="0.4">
      <c r="A561" t="s">
        <v>1133</v>
      </c>
      <c r="B561" t="s">
        <v>1134</v>
      </c>
      <c r="C561" t="s">
        <v>66</v>
      </c>
      <c r="D561" s="2">
        <v>33</v>
      </c>
      <c r="E561" s="2">
        <v>37</v>
      </c>
      <c r="F561" s="3">
        <v>0.93600000000000005</v>
      </c>
      <c r="G561" s="3">
        <v>5.4600000000000003E-2</v>
      </c>
      <c r="H561" s="3">
        <v>0.11600000000000001</v>
      </c>
      <c r="I561" s="3">
        <v>1.01E-3</v>
      </c>
      <c r="J561" s="3" t="s">
        <v>67</v>
      </c>
      <c r="K561" s="2">
        <v>109</v>
      </c>
      <c r="L561" s="2">
        <v>308</v>
      </c>
      <c r="M561">
        <f t="shared" ca="1" si="8"/>
        <v>0.91160053539065988</v>
      </c>
    </row>
    <row r="562" spans="1:13" x14ac:dyDescent="0.4">
      <c r="A562" t="s">
        <v>1135</v>
      </c>
      <c r="B562" t="s">
        <v>1136</v>
      </c>
      <c r="C562" t="s">
        <v>56</v>
      </c>
      <c r="D562" s="2">
        <v>1</v>
      </c>
      <c r="E562" s="2">
        <v>63</v>
      </c>
      <c r="F562" s="3">
        <v>0.753</v>
      </c>
      <c r="G562" s="3">
        <v>0.108</v>
      </c>
      <c r="H562" s="3">
        <v>0.14499999999999999</v>
      </c>
      <c r="I562" s="3">
        <v>0</v>
      </c>
      <c r="J562" s="3" t="s">
        <v>48</v>
      </c>
      <c r="K562" s="2">
        <v>124</v>
      </c>
      <c r="L562" s="2">
        <v>159</v>
      </c>
      <c r="M562">
        <f t="shared" ca="1" si="8"/>
        <v>0.43539256965723572</v>
      </c>
    </row>
    <row r="563" spans="1:13" x14ac:dyDescent="0.4">
      <c r="A563" t="s">
        <v>1137</v>
      </c>
      <c r="B563" t="s">
        <v>1138</v>
      </c>
      <c r="C563" t="s">
        <v>66</v>
      </c>
      <c r="D563" s="2">
        <v>17</v>
      </c>
      <c r="E563" s="2">
        <v>26</v>
      </c>
      <c r="F563" s="3">
        <v>0.77600000000000002</v>
      </c>
      <c r="G563" s="3">
        <v>0.253</v>
      </c>
      <c r="H563" s="3">
        <v>0.121</v>
      </c>
      <c r="I563" s="4">
        <v>7.8999999999999996E-5</v>
      </c>
      <c r="J563" s="3" t="s">
        <v>67</v>
      </c>
      <c r="K563" s="2">
        <v>96</v>
      </c>
      <c r="L563" s="2">
        <v>229</v>
      </c>
      <c r="M563">
        <f t="shared" ca="1" si="8"/>
        <v>0.27870777811823111</v>
      </c>
    </row>
    <row r="564" spans="1:13" x14ac:dyDescent="0.4">
      <c r="A564" t="s">
        <v>1139</v>
      </c>
      <c r="B564" t="s">
        <v>1140</v>
      </c>
      <c r="C564" t="s">
        <v>84</v>
      </c>
      <c r="D564" s="2">
        <v>1</v>
      </c>
      <c r="E564" s="2">
        <v>45</v>
      </c>
      <c r="F564" s="3">
        <v>0.52700000000000002</v>
      </c>
      <c r="G564" s="3">
        <v>0.39400000000000002</v>
      </c>
      <c r="H564" s="3">
        <v>0.11600000000000001</v>
      </c>
      <c r="I564" s="3">
        <v>0</v>
      </c>
      <c r="J564" s="3" t="s">
        <v>48</v>
      </c>
      <c r="K564" s="2">
        <v>87</v>
      </c>
      <c r="L564" s="2">
        <v>196</v>
      </c>
      <c r="M564">
        <f t="shared" ca="1" si="8"/>
        <v>0.31547577318823761</v>
      </c>
    </row>
    <row r="565" spans="1:13" x14ac:dyDescent="0.4">
      <c r="A565" t="s">
        <v>1141</v>
      </c>
      <c r="B565" t="s">
        <v>1142</v>
      </c>
      <c r="C565" t="s">
        <v>56</v>
      </c>
      <c r="D565" s="2">
        <v>6</v>
      </c>
      <c r="E565" s="2">
        <v>30</v>
      </c>
      <c r="F565" s="3">
        <v>0.53900000000000003</v>
      </c>
      <c r="G565" s="3">
        <v>7.7600000000000002E-2</v>
      </c>
      <c r="H565" s="3">
        <v>4.07E-2</v>
      </c>
      <c r="I565" s="4">
        <v>2.6200000000000003E-4</v>
      </c>
      <c r="J565" s="3" t="s">
        <v>48</v>
      </c>
      <c r="K565" s="2">
        <v>128</v>
      </c>
      <c r="L565" s="2">
        <v>283</v>
      </c>
      <c r="M565">
        <f t="shared" ca="1" si="8"/>
        <v>0.47706583808996228</v>
      </c>
    </row>
    <row r="566" spans="1:13" x14ac:dyDescent="0.4">
      <c r="A566" t="s">
        <v>1143</v>
      </c>
      <c r="B566" t="s">
        <v>1144</v>
      </c>
      <c r="C566" t="s">
        <v>84</v>
      </c>
      <c r="D566" s="2">
        <v>20</v>
      </c>
      <c r="E566" s="2">
        <v>32</v>
      </c>
      <c r="F566" s="3">
        <v>0.755</v>
      </c>
      <c r="G566" s="3">
        <v>0.216</v>
      </c>
      <c r="H566" s="3">
        <v>2.5399999999999999E-2</v>
      </c>
      <c r="I566" s="3">
        <v>0</v>
      </c>
      <c r="J566" s="3" t="s">
        <v>48</v>
      </c>
      <c r="K566" s="2">
        <v>90</v>
      </c>
      <c r="L566" s="2">
        <v>226</v>
      </c>
      <c r="M566">
        <f t="shared" ca="1" si="8"/>
        <v>2.4939398644947985E-2</v>
      </c>
    </row>
    <row r="567" spans="1:13" x14ac:dyDescent="0.4">
      <c r="A567" t="s">
        <v>1145</v>
      </c>
      <c r="B567" t="s">
        <v>1146</v>
      </c>
      <c r="C567" t="s">
        <v>47</v>
      </c>
      <c r="D567" s="2">
        <v>4</v>
      </c>
      <c r="E567" s="2">
        <v>74</v>
      </c>
      <c r="F567" s="3">
        <v>0.57599999999999996</v>
      </c>
      <c r="G567" s="3">
        <v>0.44900000000000001</v>
      </c>
      <c r="H567" s="3">
        <v>2.8000000000000001E-2</v>
      </c>
      <c r="I567" s="4">
        <v>1.68E-6</v>
      </c>
      <c r="J567" s="3" t="s">
        <v>48</v>
      </c>
      <c r="K567" s="2">
        <v>145</v>
      </c>
      <c r="L567" s="2">
        <v>247</v>
      </c>
      <c r="M567">
        <f t="shared" ca="1" si="8"/>
        <v>0.51758387885716384</v>
      </c>
    </row>
    <row r="568" spans="1:13" x14ac:dyDescent="0.4">
      <c r="A568" t="s">
        <v>1147</v>
      </c>
      <c r="B568" t="s">
        <v>1148</v>
      </c>
      <c r="C568" t="s">
        <v>56</v>
      </c>
      <c r="D568" s="2">
        <v>1</v>
      </c>
      <c r="E568" s="2">
        <v>29</v>
      </c>
      <c r="F568" s="3">
        <v>0.69399999999999995</v>
      </c>
      <c r="G568" s="3">
        <v>6.54E-2</v>
      </c>
      <c r="H568" s="3">
        <v>7.3299999999999997E-3</v>
      </c>
      <c r="I568" s="4">
        <v>3.5899999999999998E-5</v>
      </c>
      <c r="J568" s="3" t="s">
        <v>48</v>
      </c>
      <c r="K568" s="2">
        <v>144</v>
      </c>
      <c r="L568" s="2">
        <v>203</v>
      </c>
      <c r="M568">
        <f t="shared" ca="1" si="8"/>
        <v>0.99492680416682022</v>
      </c>
    </row>
    <row r="569" spans="1:13" x14ac:dyDescent="0.4">
      <c r="A569" t="s">
        <v>1149</v>
      </c>
      <c r="B569" t="s">
        <v>1150</v>
      </c>
      <c r="C569" t="s">
        <v>53</v>
      </c>
      <c r="D569" s="2">
        <v>13</v>
      </c>
      <c r="E569" s="2">
        <v>14</v>
      </c>
      <c r="F569" s="3">
        <v>0.65400000000000003</v>
      </c>
      <c r="G569" s="3">
        <v>4.7699999999999999E-2</v>
      </c>
      <c r="H569" s="4">
        <v>2.7999999999999998E-4</v>
      </c>
      <c r="I569" s="4">
        <v>2.03E-4</v>
      </c>
      <c r="J569" s="3" t="s">
        <v>48</v>
      </c>
      <c r="K569" s="2">
        <v>128</v>
      </c>
      <c r="L569" s="2">
        <v>279</v>
      </c>
      <c r="M569">
        <f t="shared" ca="1" si="8"/>
        <v>6.7619881509821456E-2</v>
      </c>
    </row>
    <row r="570" spans="1:13" x14ac:dyDescent="0.4">
      <c r="A570" t="s">
        <v>1151</v>
      </c>
      <c r="B570" t="s">
        <v>1152</v>
      </c>
      <c r="C570" t="s">
        <v>53</v>
      </c>
      <c r="D570" s="2">
        <v>3</v>
      </c>
      <c r="E570" s="2">
        <v>61</v>
      </c>
      <c r="F570" s="3">
        <v>0.73599999999999999</v>
      </c>
      <c r="G570" s="3">
        <v>0.129</v>
      </c>
      <c r="H570" s="3">
        <v>0.19800000000000001</v>
      </c>
      <c r="I570" s="4">
        <v>2.3199999999999998E-6</v>
      </c>
      <c r="J570" s="3" t="s">
        <v>48</v>
      </c>
      <c r="K570" s="2">
        <v>180</v>
      </c>
      <c r="L570" s="2">
        <v>228</v>
      </c>
      <c r="M570">
        <f t="shared" ca="1" si="8"/>
        <v>0.58065241778840893</v>
      </c>
    </row>
    <row r="571" spans="1:13" x14ac:dyDescent="0.4">
      <c r="A571" t="s">
        <v>1153</v>
      </c>
      <c r="B571" t="s">
        <v>1154</v>
      </c>
      <c r="C571" t="s">
        <v>53</v>
      </c>
      <c r="D571" s="2">
        <v>4</v>
      </c>
      <c r="E571" s="2">
        <v>19</v>
      </c>
      <c r="F571" s="3">
        <v>0.67300000000000004</v>
      </c>
      <c r="G571" s="3">
        <v>0.36099999999999999</v>
      </c>
      <c r="H571" s="3">
        <v>0.12</v>
      </c>
      <c r="I571" s="3">
        <v>0</v>
      </c>
      <c r="J571" s="3" t="s">
        <v>48</v>
      </c>
      <c r="K571" s="2">
        <v>91</v>
      </c>
      <c r="L571" s="2">
        <v>269</v>
      </c>
      <c r="M571">
        <f t="shared" ca="1" si="8"/>
        <v>0.16978246082410664</v>
      </c>
    </row>
    <row r="572" spans="1:13" x14ac:dyDescent="0.4">
      <c r="A572" t="s">
        <v>1155</v>
      </c>
      <c r="B572" t="s">
        <v>1128</v>
      </c>
      <c r="C572" t="s">
        <v>66</v>
      </c>
      <c r="D572" s="2">
        <v>8</v>
      </c>
      <c r="E572" s="2">
        <v>17</v>
      </c>
      <c r="F572" s="3">
        <v>0.55200000000000005</v>
      </c>
      <c r="G572" s="3">
        <v>5.8799999999999998E-2</v>
      </c>
      <c r="H572" s="3">
        <v>6.3299999999999995E-2</v>
      </c>
      <c r="I572" s="3">
        <v>0</v>
      </c>
      <c r="J572" s="3" t="s">
        <v>48</v>
      </c>
      <c r="K572" s="2">
        <v>80</v>
      </c>
      <c r="L572" s="2">
        <v>221</v>
      </c>
      <c r="M572">
        <f t="shared" ca="1" si="8"/>
        <v>0.73794281517556692</v>
      </c>
    </row>
    <row r="573" spans="1:13" x14ac:dyDescent="0.4">
      <c r="A573" t="s">
        <v>1156</v>
      </c>
      <c r="B573" t="s">
        <v>274</v>
      </c>
      <c r="C573" t="s">
        <v>66</v>
      </c>
      <c r="D573" s="2">
        <v>28</v>
      </c>
      <c r="E573" s="2">
        <v>38</v>
      </c>
      <c r="F573" s="3">
        <v>0.70099999999999996</v>
      </c>
      <c r="G573" s="3">
        <v>9.1200000000000003E-2</v>
      </c>
      <c r="H573" s="4">
        <v>8.8800000000000001E-4</v>
      </c>
      <c r="I573" s="3">
        <v>0.48499999999999999</v>
      </c>
      <c r="J573" s="3" t="s">
        <v>48</v>
      </c>
      <c r="K573" s="2">
        <v>109</v>
      </c>
      <c r="L573" s="2">
        <v>256</v>
      </c>
      <c r="M573">
        <f t="shared" ca="1" si="8"/>
        <v>0.69690621921450258</v>
      </c>
    </row>
    <row r="574" spans="1:13" x14ac:dyDescent="0.4">
      <c r="A574" t="s">
        <v>1157</v>
      </c>
      <c r="B574" t="s">
        <v>1158</v>
      </c>
      <c r="C574" t="s">
        <v>56</v>
      </c>
      <c r="D574" s="2">
        <v>5</v>
      </c>
      <c r="E574" s="2">
        <v>65</v>
      </c>
      <c r="F574" s="3">
        <v>0.63400000000000001</v>
      </c>
      <c r="G574" s="3">
        <v>0.13600000000000001</v>
      </c>
      <c r="H574" s="3">
        <v>4.8000000000000001E-2</v>
      </c>
      <c r="I574" s="3">
        <v>0.68700000000000006</v>
      </c>
      <c r="J574" s="3" t="s">
        <v>48</v>
      </c>
      <c r="K574" s="2">
        <v>128</v>
      </c>
      <c r="L574" s="2">
        <v>257</v>
      </c>
      <c r="M574">
        <f t="shared" ca="1" si="8"/>
        <v>0.30959751344692077</v>
      </c>
    </row>
    <row r="575" spans="1:13" x14ac:dyDescent="0.4">
      <c r="A575" t="s">
        <v>1159</v>
      </c>
      <c r="B575" t="s">
        <v>1160</v>
      </c>
      <c r="C575" t="s">
        <v>84</v>
      </c>
      <c r="D575" s="2">
        <v>1</v>
      </c>
      <c r="E575" s="2">
        <v>54</v>
      </c>
      <c r="F575" s="3">
        <v>0.81399999999999995</v>
      </c>
      <c r="G575" s="3">
        <v>0.72799999999999998</v>
      </c>
      <c r="H575" s="3">
        <v>8.1199999999999994E-2</v>
      </c>
      <c r="I575" s="3">
        <v>0</v>
      </c>
      <c r="J575" s="3" t="s">
        <v>67</v>
      </c>
      <c r="K575" s="2">
        <v>160</v>
      </c>
      <c r="L575" s="2">
        <v>109</v>
      </c>
      <c r="M575">
        <f t="shared" ca="1" si="8"/>
        <v>0.39680629808851031</v>
      </c>
    </row>
    <row r="576" spans="1:13" x14ac:dyDescent="0.4">
      <c r="A576" t="s">
        <v>1161</v>
      </c>
      <c r="B576" t="s">
        <v>1162</v>
      </c>
      <c r="C576" t="s">
        <v>56</v>
      </c>
      <c r="D576" s="2">
        <v>1</v>
      </c>
      <c r="E576" s="2">
        <v>39</v>
      </c>
      <c r="F576" s="3">
        <v>0.60399999999999998</v>
      </c>
      <c r="G576" s="3">
        <v>7.85E-2</v>
      </c>
      <c r="H576" s="3">
        <v>3.0400000000000002E-3</v>
      </c>
      <c r="I576" s="3">
        <v>3.3300000000000003E-2</v>
      </c>
      <c r="J576" s="3" t="s">
        <v>48</v>
      </c>
      <c r="K576" s="2">
        <v>130</v>
      </c>
      <c r="L576" s="2">
        <v>173</v>
      </c>
      <c r="M576">
        <f t="shared" ca="1" si="8"/>
        <v>0.13116531551088273</v>
      </c>
    </row>
    <row r="577" spans="1:13" x14ac:dyDescent="0.4">
      <c r="A577" t="s">
        <v>1163</v>
      </c>
      <c r="B577" t="s">
        <v>1164</v>
      </c>
      <c r="C577" t="s">
        <v>84</v>
      </c>
      <c r="D577" s="2">
        <v>1</v>
      </c>
      <c r="E577" s="2">
        <v>53</v>
      </c>
      <c r="F577" s="3">
        <v>0.879</v>
      </c>
      <c r="G577" s="3">
        <v>0.38900000000000001</v>
      </c>
      <c r="H577" s="3">
        <v>0.41399999999999998</v>
      </c>
      <c r="I577" s="3">
        <v>0</v>
      </c>
      <c r="J577" s="3" t="s">
        <v>67</v>
      </c>
      <c r="K577" s="2">
        <v>99</v>
      </c>
      <c r="L577" s="2">
        <v>194</v>
      </c>
      <c r="M577">
        <f t="shared" ca="1" si="8"/>
        <v>0.77515960607718726</v>
      </c>
    </row>
    <row r="578" spans="1:13" x14ac:dyDescent="0.4">
      <c r="A578" t="s">
        <v>1165</v>
      </c>
      <c r="B578" t="s">
        <v>1166</v>
      </c>
      <c r="C578" t="s">
        <v>84</v>
      </c>
      <c r="D578" s="2">
        <v>8</v>
      </c>
      <c r="E578" s="2">
        <v>35</v>
      </c>
      <c r="F578" s="3">
        <v>0.65700000000000003</v>
      </c>
      <c r="G578" s="3">
        <v>2.8299999999999999E-2</v>
      </c>
      <c r="H578" s="3">
        <v>8.8800000000000004E-2</v>
      </c>
      <c r="I578" s="4">
        <v>6.1500000000000004E-6</v>
      </c>
      <c r="J578" s="3" t="s">
        <v>48</v>
      </c>
      <c r="K578" s="2">
        <v>88</v>
      </c>
      <c r="L578" s="2">
        <v>251</v>
      </c>
      <c r="M578">
        <f t="shared" ref="M578:M641" ca="1" si="9">RAND()</f>
        <v>0.35018685921082393</v>
      </c>
    </row>
    <row r="579" spans="1:13" x14ac:dyDescent="0.4">
      <c r="A579" t="s">
        <v>1167</v>
      </c>
      <c r="B579" t="s">
        <v>1168</v>
      </c>
      <c r="C579" t="s">
        <v>56</v>
      </c>
      <c r="D579" s="2">
        <v>2</v>
      </c>
      <c r="E579" s="2">
        <v>67</v>
      </c>
      <c r="F579" s="3">
        <v>0.57799999999999996</v>
      </c>
      <c r="G579" s="3">
        <v>2.98E-2</v>
      </c>
      <c r="H579" s="3">
        <v>2.5899999999999999E-2</v>
      </c>
      <c r="I579" s="3">
        <v>7.0599999999999996E-2</v>
      </c>
      <c r="J579" s="3" t="s">
        <v>48</v>
      </c>
      <c r="K579" s="2">
        <v>123</v>
      </c>
      <c r="L579" s="2">
        <v>214</v>
      </c>
      <c r="M579">
        <f t="shared" ca="1" si="9"/>
        <v>0.62133206290899201</v>
      </c>
    </row>
    <row r="580" spans="1:13" x14ac:dyDescent="0.4">
      <c r="A580" t="s">
        <v>1169</v>
      </c>
      <c r="B580" t="s">
        <v>1170</v>
      </c>
      <c r="C580" t="s">
        <v>56</v>
      </c>
      <c r="D580" s="2">
        <v>2</v>
      </c>
      <c r="E580" s="2">
        <v>51</v>
      </c>
      <c r="F580" s="3">
        <v>0.51700000000000002</v>
      </c>
      <c r="G580" s="3">
        <v>9.7500000000000003E-2</v>
      </c>
      <c r="H580" s="3">
        <v>4.0299999999999997E-3</v>
      </c>
      <c r="I580" s="3">
        <v>0.307</v>
      </c>
      <c r="J580" s="3" t="s">
        <v>48</v>
      </c>
      <c r="K580" s="2">
        <v>128</v>
      </c>
      <c r="L580" s="2">
        <v>195</v>
      </c>
      <c r="M580">
        <f t="shared" ca="1" si="9"/>
        <v>6.2898212527584985E-2</v>
      </c>
    </row>
    <row r="581" spans="1:13" x14ac:dyDescent="0.4">
      <c r="A581" t="s">
        <v>1171</v>
      </c>
      <c r="B581" t="s">
        <v>1172</v>
      </c>
      <c r="C581" t="s">
        <v>66</v>
      </c>
      <c r="D581" s="2">
        <v>8</v>
      </c>
      <c r="E581" s="2">
        <v>6</v>
      </c>
      <c r="F581" s="3">
        <v>0.55800000000000005</v>
      </c>
      <c r="G581" s="3">
        <v>0.03</v>
      </c>
      <c r="H581" s="3">
        <v>0.185</v>
      </c>
      <c r="I581" s="3">
        <v>0</v>
      </c>
      <c r="J581" s="3" t="s">
        <v>48</v>
      </c>
      <c r="K581" s="2">
        <v>107</v>
      </c>
      <c r="L581" s="2">
        <v>247</v>
      </c>
      <c r="M581">
        <f t="shared" ca="1" si="9"/>
        <v>0.73626116438286415</v>
      </c>
    </row>
    <row r="582" spans="1:13" x14ac:dyDescent="0.4">
      <c r="A582" t="s">
        <v>1173</v>
      </c>
      <c r="B582" t="s">
        <v>500</v>
      </c>
      <c r="C582" t="s">
        <v>66</v>
      </c>
      <c r="D582" s="2">
        <v>16</v>
      </c>
      <c r="E582" s="2">
        <v>1</v>
      </c>
      <c r="F582" s="3">
        <v>0.76200000000000001</v>
      </c>
      <c r="G582" s="3">
        <v>0.17</v>
      </c>
      <c r="H582" s="3">
        <v>3.6999999999999998E-2</v>
      </c>
      <c r="I582" s="3">
        <v>0</v>
      </c>
      <c r="J582" s="3" t="s">
        <v>48</v>
      </c>
      <c r="K582" s="2">
        <v>99</v>
      </c>
      <c r="L582" s="2">
        <v>269</v>
      </c>
      <c r="M582">
        <f t="shared" ca="1" si="9"/>
        <v>5.067299478640519E-2</v>
      </c>
    </row>
    <row r="583" spans="1:13" x14ac:dyDescent="0.4">
      <c r="A583" t="s">
        <v>1174</v>
      </c>
      <c r="B583" t="s">
        <v>1175</v>
      </c>
      <c r="C583" t="s">
        <v>61</v>
      </c>
      <c r="D583" s="2">
        <v>6</v>
      </c>
      <c r="E583" s="2">
        <v>34</v>
      </c>
      <c r="F583" s="3">
        <v>0.45</v>
      </c>
      <c r="G583" s="3">
        <v>0.104</v>
      </c>
      <c r="H583" s="3">
        <v>0.36099999999999999</v>
      </c>
      <c r="I583" s="3">
        <v>1E-3</v>
      </c>
      <c r="J583" s="3" t="s">
        <v>48</v>
      </c>
      <c r="K583" s="2">
        <v>138</v>
      </c>
      <c r="L583" s="2">
        <v>291</v>
      </c>
      <c r="M583">
        <f t="shared" ca="1" si="9"/>
        <v>0.58136844210712013</v>
      </c>
    </row>
    <row r="584" spans="1:13" x14ac:dyDescent="0.4">
      <c r="A584" t="s">
        <v>1176</v>
      </c>
      <c r="B584" t="s">
        <v>1177</v>
      </c>
      <c r="C584" t="s">
        <v>84</v>
      </c>
      <c r="D584" s="2">
        <v>6</v>
      </c>
      <c r="E584" s="2">
        <v>31</v>
      </c>
      <c r="F584" s="3">
        <v>0.502</v>
      </c>
      <c r="G584" s="3">
        <v>0.107</v>
      </c>
      <c r="H584" s="3">
        <v>4.9799999999999997E-2</v>
      </c>
      <c r="I584" s="3">
        <v>0</v>
      </c>
      <c r="J584" s="3" t="s">
        <v>67</v>
      </c>
      <c r="K584" s="2">
        <v>100</v>
      </c>
      <c r="L584" s="2">
        <v>258</v>
      </c>
      <c r="M584">
        <f t="shared" ca="1" si="9"/>
        <v>0.97586301643169493</v>
      </c>
    </row>
    <row r="585" spans="1:13" x14ac:dyDescent="0.4">
      <c r="A585" t="s">
        <v>1178</v>
      </c>
      <c r="B585" t="s">
        <v>894</v>
      </c>
      <c r="C585" t="s">
        <v>66</v>
      </c>
      <c r="D585" s="2">
        <v>4</v>
      </c>
      <c r="E585" s="2">
        <v>69</v>
      </c>
      <c r="F585" s="3">
        <v>0.77200000000000002</v>
      </c>
      <c r="G585" s="3">
        <v>7.6100000000000001E-2</v>
      </c>
      <c r="H585" s="3">
        <v>0.129</v>
      </c>
      <c r="I585" s="3">
        <v>0</v>
      </c>
      <c r="J585" s="3" t="s">
        <v>48</v>
      </c>
      <c r="K585" s="2">
        <v>140</v>
      </c>
      <c r="L585" s="2">
        <v>238</v>
      </c>
      <c r="M585">
        <f t="shared" ca="1" si="9"/>
        <v>0.86009156816050014</v>
      </c>
    </row>
    <row r="586" spans="1:13" x14ac:dyDescent="0.4">
      <c r="A586" t="s">
        <v>1179</v>
      </c>
      <c r="B586" t="s">
        <v>829</v>
      </c>
      <c r="C586" t="s">
        <v>53</v>
      </c>
      <c r="D586" s="2">
        <v>21</v>
      </c>
      <c r="E586" s="2">
        <v>43</v>
      </c>
      <c r="F586" s="3">
        <v>0.78900000000000003</v>
      </c>
      <c r="G586" s="3">
        <v>0.11600000000000001</v>
      </c>
      <c r="H586" s="3">
        <v>7.8100000000000001E-3</v>
      </c>
      <c r="I586" s="3">
        <v>1.5100000000000001E-3</v>
      </c>
      <c r="J586" s="3" t="s">
        <v>48</v>
      </c>
      <c r="K586" s="2">
        <v>102</v>
      </c>
      <c r="L586" s="2">
        <v>250</v>
      </c>
      <c r="M586">
        <f t="shared" ca="1" si="9"/>
        <v>0.54997476835357217</v>
      </c>
    </row>
    <row r="587" spans="1:13" x14ac:dyDescent="0.4">
      <c r="A587" t="s">
        <v>1180</v>
      </c>
      <c r="B587" t="s">
        <v>1181</v>
      </c>
      <c r="C587" t="s">
        <v>56</v>
      </c>
      <c r="D587" s="2">
        <v>1</v>
      </c>
      <c r="E587" s="2">
        <v>33</v>
      </c>
      <c r="F587" s="3">
        <v>0.61299999999999999</v>
      </c>
      <c r="G587" s="3">
        <v>4.4400000000000002E-2</v>
      </c>
      <c r="H587" s="4">
        <v>5.9999999999999995E-4</v>
      </c>
      <c r="I587" s="3">
        <v>0.81599999999999995</v>
      </c>
      <c r="J587" s="3" t="s">
        <v>48</v>
      </c>
      <c r="K587" s="2">
        <v>125</v>
      </c>
      <c r="L587" s="2">
        <v>172</v>
      </c>
      <c r="M587">
        <f t="shared" ca="1" si="9"/>
        <v>0.62927518204333099</v>
      </c>
    </row>
    <row r="588" spans="1:13" x14ac:dyDescent="0.4">
      <c r="A588" t="s">
        <v>1182</v>
      </c>
      <c r="B588" t="s">
        <v>58</v>
      </c>
      <c r="C588" t="s">
        <v>53</v>
      </c>
      <c r="D588" s="2">
        <v>5</v>
      </c>
      <c r="E588" s="2">
        <v>51</v>
      </c>
      <c r="F588" s="3">
        <v>0.85699999999999998</v>
      </c>
      <c r="G588" s="3">
        <v>0.13400000000000001</v>
      </c>
      <c r="H588" s="3">
        <v>9.3899999999999997E-2</v>
      </c>
      <c r="I588" s="4">
        <v>1.0399999999999999E-4</v>
      </c>
      <c r="J588" s="3" t="s">
        <v>48</v>
      </c>
      <c r="K588" s="2">
        <v>95</v>
      </c>
      <c r="L588" s="2">
        <v>181</v>
      </c>
      <c r="M588">
        <f t="shared" ca="1" si="9"/>
        <v>0.79090931684931609</v>
      </c>
    </row>
    <row r="589" spans="1:13" x14ac:dyDescent="0.4">
      <c r="A589" t="s">
        <v>1183</v>
      </c>
      <c r="B589" t="s">
        <v>430</v>
      </c>
      <c r="C589" t="s">
        <v>84</v>
      </c>
      <c r="D589" s="2">
        <v>22</v>
      </c>
      <c r="E589" s="2">
        <v>30</v>
      </c>
      <c r="F589" s="3">
        <v>0.72499999999999998</v>
      </c>
      <c r="G589" s="3">
        <v>0.36499999999999999</v>
      </c>
      <c r="H589" s="3">
        <v>0.247</v>
      </c>
      <c r="I589" s="4">
        <v>9.1000000000000003E-5</v>
      </c>
      <c r="J589" s="3" t="s">
        <v>67</v>
      </c>
      <c r="K589" s="2">
        <v>79</v>
      </c>
      <c r="L589" s="2">
        <v>268</v>
      </c>
      <c r="M589">
        <f t="shared" ca="1" si="9"/>
        <v>0.39026185553682613</v>
      </c>
    </row>
    <row r="590" spans="1:13" x14ac:dyDescent="0.4">
      <c r="A590" t="s">
        <v>1184</v>
      </c>
      <c r="B590" t="s">
        <v>572</v>
      </c>
      <c r="C590" t="s">
        <v>56</v>
      </c>
      <c r="D590" s="2">
        <v>2</v>
      </c>
      <c r="E590" s="2">
        <v>1</v>
      </c>
      <c r="F590" s="3">
        <v>0.6</v>
      </c>
      <c r="G590" s="3">
        <v>3.6700000000000003E-2</v>
      </c>
      <c r="H590" s="3">
        <v>0.247</v>
      </c>
      <c r="I590" s="3">
        <v>2.5000000000000001E-2</v>
      </c>
      <c r="J590" s="3" t="s">
        <v>48</v>
      </c>
      <c r="K590" s="2">
        <v>108</v>
      </c>
      <c r="L590" s="2">
        <v>209</v>
      </c>
      <c r="M590">
        <f t="shared" ca="1" si="9"/>
        <v>0.77330616745865322</v>
      </c>
    </row>
    <row r="591" spans="1:13" x14ac:dyDescent="0.4">
      <c r="A591" t="s">
        <v>1185</v>
      </c>
      <c r="B591" t="s">
        <v>1186</v>
      </c>
      <c r="C591" t="s">
        <v>84</v>
      </c>
      <c r="D591" s="2">
        <v>1</v>
      </c>
      <c r="E591" s="2">
        <v>51</v>
      </c>
      <c r="F591" s="3">
        <v>0.69</v>
      </c>
      <c r="G591" s="3">
        <v>8.1699999999999995E-2</v>
      </c>
      <c r="H591" s="3">
        <v>8.6800000000000002E-2</v>
      </c>
      <c r="I591" s="3">
        <v>0.36099999999999999</v>
      </c>
      <c r="J591" s="3" t="s">
        <v>67</v>
      </c>
      <c r="K591" s="2">
        <v>78</v>
      </c>
      <c r="L591" s="2">
        <v>218</v>
      </c>
      <c r="M591">
        <f t="shared" ca="1" si="9"/>
        <v>0.34346513395608158</v>
      </c>
    </row>
    <row r="592" spans="1:13" x14ac:dyDescent="0.4">
      <c r="A592" t="s">
        <v>1187</v>
      </c>
      <c r="B592" t="s">
        <v>572</v>
      </c>
      <c r="C592" t="s">
        <v>56</v>
      </c>
      <c r="D592" s="2">
        <v>1</v>
      </c>
      <c r="E592" s="2">
        <v>46</v>
      </c>
      <c r="F592" s="3">
        <v>0.53900000000000003</v>
      </c>
      <c r="G592" s="3">
        <v>3.7699999999999997E-2</v>
      </c>
      <c r="H592" s="3">
        <v>0.28899999999999998</v>
      </c>
      <c r="I592" s="3">
        <v>0</v>
      </c>
      <c r="J592" s="3" t="s">
        <v>48</v>
      </c>
      <c r="K592" s="2">
        <v>128</v>
      </c>
      <c r="L592" s="2">
        <v>192</v>
      </c>
      <c r="M592">
        <f t="shared" ca="1" si="9"/>
        <v>0.7297333128171225</v>
      </c>
    </row>
    <row r="593" spans="1:13" x14ac:dyDescent="0.4">
      <c r="A593" t="s">
        <v>1188</v>
      </c>
      <c r="B593" t="s">
        <v>1189</v>
      </c>
      <c r="C593" t="s">
        <v>47</v>
      </c>
      <c r="D593" s="2">
        <v>7</v>
      </c>
      <c r="E593" s="2">
        <v>7</v>
      </c>
      <c r="F593" s="3">
        <v>0.624</v>
      </c>
      <c r="G593" s="3">
        <v>3.6200000000000003E-2</v>
      </c>
      <c r="H593" s="3">
        <v>3.2500000000000001E-2</v>
      </c>
      <c r="I593" s="3">
        <v>0.753</v>
      </c>
      <c r="J593" s="3" t="s">
        <v>48</v>
      </c>
      <c r="K593" s="2">
        <v>126</v>
      </c>
      <c r="L593" s="2">
        <v>150</v>
      </c>
      <c r="M593">
        <f t="shared" ca="1" si="9"/>
        <v>0.42488295322985092</v>
      </c>
    </row>
    <row r="594" spans="1:13" x14ac:dyDescent="0.4">
      <c r="A594" t="s">
        <v>1190</v>
      </c>
      <c r="B594" t="s">
        <v>1191</v>
      </c>
      <c r="C594" t="s">
        <v>56</v>
      </c>
      <c r="D594" s="2">
        <v>1</v>
      </c>
      <c r="E594" s="2">
        <v>31</v>
      </c>
      <c r="F594" s="3">
        <v>0.57599999999999996</v>
      </c>
      <c r="G594" s="3">
        <v>6.8500000000000005E-2</v>
      </c>
      <c r="H594" s="3">
        <v>1.7999999999999999E-2</v>
      </c>
      <c r="I594" s="3">
        <v>0.436</v>
      </c>
      <c r="J594" s="3" t="s">
        <v>48</v>
      </c>
      <c r="K594" s="2">
        <v>128</v>
      </c>
      <c r="L594" s="2">
        <v>202</v>
      </c>
      <c r="M594">
        <f t="shared" ca="1" si="9"/>
        <v>0.62383090208722558</v>
      </c>
    </row>
    <row r="595" spans="1:13" x14ac:dyDescent="0.4">
      <c r="A595" t="s">
        <v>1192</v>
      </c>
      <c r="B595" t="s">
        <v>1193</v>
      </c>
      <c r="C595" t="s">
        <v>47</v>
      </c>
      <c r="D595" s="2">
        <v>5</v>
      </c>
      <c r="E595" s="2">
        <v>33</v>
      </c>
      <c r="F595" s="3">
        <v>0.59099999999999997</v>
      </c>
      <c r="G595" s="3">
        <v>0.30499999999999999</v>
      </c>
      <c r="H595" s="3">
        <v>0.29899999999999999</v>
      </c>
      <c r="I595" s="4">
        <v>2.4200000000000001E-6</v>
      </c>
      <c r="J595" s="3" t="s">
        <v>67</v>
      </c>
      <c r="K595" s="2">
        <v>145</v>
      </c>
      <c r="L595" s="2">
        <v>218</v>
      </c>
      <c r="M595">
        <f t="shared" ca="1" si="9"/>
        <v>0.65489246995675698</v>
      </c>
    </row>
    <row r="596" spans="1:13" x14ac:dyDescent="0.4">
      <c r="A596" t="s">
        <v>1194</v>
      </c>
      <c r="B596" t="s">
        <v>1195</v>
      </c>
      <c r="C596" t="s">
        <v>84</v>
      </c>
      <c r="D596" s="2">
        <v>25</v>
      </c>
      <c r="E596" s="2">
        <v>37</v>
      </c>
      <c r="F596" s="3">
        <v>0.92700000000000005</v>
      </c>
      <c r="G596" s="3">
        <v>0.30399999999999999</v>
      </c>
      <c r="H596" s="3">
        <v>6.8900000000000003E-2</v>
      </c>
      <c r="I596" s="4">
        <v>8.6199999999999995E-5</v>
      </c>
      <c r="J596" s="3" t="s">
        <v>67</v>
      </c>
      <c r="K596" s="2">
        <v>96</v>
      </c>
      <c r="L596" s="2">
        <v>236</v>
      </c>
      <c r="M596">
        <f t="shared" ca="1" si="9"/>
        <v>0.72206498728072754</v>
      </c>
    </row>
    <row r="597" spans="1:13" x14ac:dyDescent="0.4">
      <c r="A597" t="s">
        <v>1196</v>
      </c>
      <c r="B597" t="s">
        <v>1197</v>
      </c>
      <c r="C597" t="s">
        <v>47</v>
      </c>
      <c r="D597" s="2">
        <v>1</v>
      </c>
      <c r="E597" s="2">
        <v>54</v>
      </c>
      <c r="F597" s="3">
        <v>0.33800000000000002</v>
      </c>
      <c r="G597" s="3">
        <v>0.107</v>
      </c>
      <c r="H597" s="3">
        <v>0.104</v>
      </c>
      <c r="I597" s="3">
        <v>0</v>
      </c>
      <c r="J597" s="3" t="s">
        <v>48</v>
      </c>
      <c r="K597" s="2">
        <v>84</v>
      </c>
      <c r="L597" s="2">
        <v>201</v>
      </c>
      <c r="M597">
        <f t="shared" ca="1" si="9"/>
        <v>0.26260141617664756</v>
      </c>
    </row>
    <row r="598" spans="1:13" x14ac:dyDescent="0.4">
      <c r="A598" t="s">
        <v>1198</v>
      </c>
      <c r="B598" t="s">
        <v>1199</v>
      </c>
      <c r="C598" t="s">
        <v>56</v>
      </c>
      <c r="D598" s="2">
        <v>5</v>
      </c>
      <c r="E598" s="2">
        <v>21</v>
      </c>
      <c r="F598" s="3">
        <v>0.65900000000000003</v>
      </c>
      <c r="G598" s="3">
        <v>6.1600000000000002E-2</v>
      </c>
      <c r="H598" s="3">
        <v>2.1199999999999999E-3</v>
      </c>
      <c r="I598" s="3">
        <v>0.44500000000000001</v>
      </c>
      <c r="J598" s="3" t="s">
        <v>48</v>
      </c>
      <c r="K598" s="2">
        <v>128</v>
      </c>
      <c r="L598" s="2">
        <v>315</v>
      </c>
      <c r="M598">
        <f t="shared" ca="1" si="9"/>
        <v>0.29939169180732528</v>
      </c>
    </row>
    <row r="599" spans="1:13" x14ac:dyDescent="0.4">
      <c r="A599" t="s">
        <v>1200</v>
      </c>
      <c r="B599" t="s">
        <v>1201</v>
      </c>
      <c r="C599" t="s">
        <v>66</v>
      </c>
      <c r="D599" s="2">
        <v>32</v>
      </c>
      <c r="E599" s="2">
        <v>6</v>
      </c>
      <c r="F599" s="3">
        <v>0.80400000000000005</v>
      </c>
      <c r="G599" s="3">
        <v>6.3600000000000004E-2</v>
      </c>
      <c r="H599" s="3">
        <v>8.8599999999999998E-3</v>
      </c>
      <c r="I599" s="3">
        <v>0.11600000000000001</v>
      </c>
      <c r="J599" s="3" t="s">
        <v>48</v>
      </c>
      <c r="K599" s="2">
        <v>124</v>
      </c>
      <c r="L599" s="2">
        <v>285</v>
      </c>
      <c r="M599">
        <f t="shared" ca="1" si="9"/>
        <v>0.50197411361889188</v>
      </c>
    </row>
    <row r="600" spans="1:13" x14ac:dyDescent="0.4">
      <c r="A600" t="s">
        <v>1202</v>
      </c>
      <c r="B600" t="s">
        <v>1203</v>
      </c>
      <c r="C600" t="s">
        <v>56</v>
      </c>
      <c r="D600" s="2">
        <v>1</v>
      </c>
      <c r="E600" s="2">
        <v>27</v>
      </c>
      <c r="F600" s="3">
        <v>0.67400000000000004</v>
      </c>
      <c r="G600" s="3">
        <v>3.9399999999999998E-2</v>
      </c>
      <c r="H600" s="3">
        <v>6.7499999999999999E-3</v>
      </c>
      <c r="I600" s="3">
        <v>9.4599999999999997E-3</v>
      </c>
      <c r="J600" s="3" t="s">
        <v>48</v>
      </c>
      <c r="K600" s="2">
        <v>126</v>
      </c>
      <c r="L600" s="2">
        <v>167</v>
      </c>
      <c r="M600">
        <f t="shared" ca="1" si="9"/>
        <v>0.49034345589927208</v>
      </c>
    </row>
    <row r="601" spans="1:13" x14ac:dyDescent="0.4">
      <c r="A601" t="s">
        <v>1204</v>
      </c>
      <c r="B601" t="s">
        <v>1205</v>
      </c>
      <c r="C601" t="s">
        <v>66</v>
      </c>
      <c r="D601" s="2">
        <v>21</v>
      </c>
      <c r="E601" s="2">
        <v>49</v>
      </c>
      <c r="F601" s="3">
        <v>0.69799999999999995</v>
      </c>
      <c r="G601" s="3">
        <v>8.6999999999999994E-2</v>
      </c>
      <c r="H601" s="3">
        <v>0.56399999999999995</v>
      </c>
      <c r="I601" s="4">
        <v>1.3799999999999999E-6</v>
      </c>
      <c r="J601" s="3" t="s">
        <v>48</v>
      </c>
      <c r="K601" s="2">
        <v>142</v>
      </c>
      <c r="L601" s="2">
        <v>284</v>
      </c>
      <c r="M601">
        <f t="shared" ca="1" si="9"/>
        <v>0.79993823093391514</v>
      </c>
    </row>
    <row r="602" spans="1:13" x14ac:dyDescent="0.4">
      <c r="A602" t="s">
        <v>1206</v>
      </c>
      <c r="B602" t="s">
        <v>1207</v>
      </c>
      <c r="C602" t="s">
        <v>66</v>
      </c>
      <c r="D602" s="2">
        <v>20</v>
      </c>
      <c r="E602" s="2">
        <v>28</v>
      </c>
      <c r="F602" s="3">
        <v>0.79900000000000004</v>
      </c>
      <c r="G602" s="3">
        <v>9.9599999999999994E-2</v>
      </c>
      <c r="H602" s="3">
        <v>9.2899999999999996E-2</v>
      </c>
      <c r="I602" s="3">
        <v>1.16E-3</v>
      </c>
      <c r="J602" s="3" t="s">
        <v>48</v>
      </c>
      <c r="K602" s="2">
        <v>90</v>
      </c>
      <c r="L602" s="2">
        <v>251</v>
      </c>
      <c r="M602">
        <f t="shared" ca="1" si="9"/>
        <v>0.83965611405160112</v>
      </c>
    </row>
    <row r="603" spans="1:13" x14ac:dyDescent="0.4">
      <c r="A603" t="s">
        <v>1208</v>
      </c>
      <c r="B603" t="s">
        <v>1209</v>
      </c>
      <c r="C603" t="s">
        <v>56</v>
      </c>
      <c r="D603" s="2">
        <v>11</v>
      </c>
      <c r="E603" s="2">
        <v>15</v>
      </c>
      <c r="F603" s="3">
        <v>0.53300000000000003</v>
      </c>
      <c r="G603" s="3">
        <v>3.5400000000000001E-2</v>
      </c>
      <c r="H603" s="4">
        <v>2.2699999999999999E-4</v>
      </c>
      <c r="I603" s="3">
        <v>0.59199999999999997</v>
      </c>
      <c r="J603" s="3" t="s">
        <v>48</v>
      </c>
      <c r="K603" s="2">
        <v>124</v>
      </c>
      <c r="L603" s="2">
        <v>356</v>
      </c>
      <c r="M603">
        <f t="shared" ca="1" si="9"/>
        <v>0.73976456774336119</v>
      </c>
    </row>
    <row r="604" spans="1:13" x14ac:dyDescent="0.4">
      <c r="A604" t="s">
        <v>1210</v>
      </c>
      <c r="B604" t="s">
        <v>1211</v>
      </c>
      <c r="C604" t="s">
        <v>66</v>
      </c>
      <c r="D604" s="2">
        <v>2</v>
      </c>
      <c r="E604" s="2">
        <v>45</v>
      </c>
      <c r="F604" s="3">
        <v>0.84499999999999997</v>
      </c>
      <c r="G604" s="3">
        <v>0.249</v>
      </c>
      <c r="H604" s="3">
        <v>0.66100000000000003</v>
      </c>
      <c r="I604" s="3">
        <v>0.255</v>
      </c>
      <c r="J604" s="3" t="s">
        <v>67</v>
      </c>
      <c r="K604" s="2">
        <v>79</v>
      </c>
      <c r="L604" s="2">
        <v>136</v>
      </c>
      <c r="M604">
        <f t="shared" ca="1" si="9"/>
        <v>0.83299862194587215</v>
      </c>
    </row>
    <row r="605" spans="1:13" x14ac:dyDescent="0.4">
      <c r="A605" t="s">
        <v>1212</v>
      </c>
      <c r="B605" t="s">
        <v>1213</v>
      </c>
      <c r="C605" t="s">
        <v>84</v>
      </c>
      <c r="D605" s="2">
        <v>1</v>
      </c>
      <c r="E605" s="2">
        <v>52</v>
      </c>
      <c r="F605" s="3">
        <v>0.79</v>
      </c>
      <c r="G605" s="3">
        <v>0.11</v>
      </c>
      <c r="H605" s="3">
        <v>0.40200000000000002</v>
      </c>
      <c r="I605" s="3">
        <v>0</v>
      </c>
      <c r="J605" s="3" t="s">
        <v>48</v>
      </c>
      <c r="K605" s="2">
        <v>133</v>
      </c>
      <c r="L605" s="2">
        <v>153</v>
      </c>
      <c r="M605">
        <f t="shared" ca="1" si="9"/>
        <v>0.54935880819088656</v>
      </c>
    </row>
    <row r="606" spans="1:13" x14ac:dyDescent="0.4">
      <c r="A606" t="s">
        <v>1214</v>
      </c>
      <c r="B606" t="s">
        <v>1215</v>
      </c>
      <c r="C606" t="s">
        <v>47</v>
      </c>
      <c r="D606" s="2">
        <v>2</v>
      </c>
      <c r="E606" s="2">
        <v>18</v>
      </c>
      <c r="F606" s="3">
        <v>0.51400000000000001</v>
      </c>
      <c r="G606" s="3">
        <v>3.5400000000000001E-2</v>
      </c>
      <c r="H606" s="3">
        <v>7.6799999999999993E-2</v>
      </c>
      <c r="I606" s="4">
        <v>4.2099999999999999E-4</v>
      </c>
      <c r="J606" s="3" t="s">
        <v>48</v>
      </c>
      <c r="K606" s="2">
        <v>107</v>
      </c>
      <c r="L606" s="2">
        <v>243</v>
      </c>
      <c r="M606">
        <f t="shared" ca="1" si="9"/>
        <v>0.77861163065544792</v>
      </c>
    </row>
    <row r="607" spans="1:13" x14ac:dyDescent="0.4">
      <c r="A607" t="s">
        <v>1216</v>
      </c>
      <c r="B607" t="s">
        <v>1217</v>
      </c>
      <c r="C607" t="s">
        <v>66</v>
      </c>
      <c r="D607" s="2">
        <v>5</v>
      </c>
      <c r="E607" s="2">
        <v>33</v>
      </c>
      <c r="F607" s="3">
        <v>0.64700000000000002</v>
      </c>
      <c r="G607" s="3">
        <v>8.6300000000000002E-2</v>
      </c>
      <c r="H607" s="3">
        <v>0.23799999999999999</v>
      </c>
      <c r="I607" s="4">
        <v>3.29E-5</v>
      </c>
      <c r="J607" s="3" t="s">
        <v>48</v>
      </c>
      <c r="K607" s="2">
        <v>101</v>
      </c>
      <c r="L607" s="2">
        <v>221</v>
      </c>
      <c r="M607">
        <f t="shared" ca="1" si="9"/>
        <v>5.7017433378528715E-2</v>
      </c>
    </row>
    <row r="608" spans="1:13" x14ac:dyDescent="0.4">
      <c r="A608" t="s">
        <v>1218</v>
      </c>
      <c r="B608" t="s">
        <v>1219</v>
      </c>
      <c r="C608" t="s">
        <v>47</v>
      </c>
      <c r="D608" s="2">
        <v>5</v>
      </c>
      <c r="E608" s="2">
        <v>58</v>
      </c>
      <c r="F608" s="3">
        <v>0.60099999999999998</v>
      </c>
      <c r="G608" s="3">
        <v>3.3799999999999997E-2</v>
      </c>
      <c r="H608" s="3">
        <v>8.5599999999999996E-2</v>
      </c>
      <c r="I608" s="3">
        <v>3.8400000000000001E-3</v>
      </c>
      <c r="J608" s="3" t="s">
        <v>48</v>
      </c>
      <c r="K608" s="2">
        <v>95</v>
      </c>
      <c r="L608" s="2">
        <v>211</v>
      </c>
      <c r="M608">
        <f t="shared" ca="1" si="9"/>
        <v>0.58667247866031813</v>
      </c>
    </row>
    <row r="609" spans="1:13" x14ac:dyDescent="0.4">
      <c r="A609" t="s">
        <v>1220</v>
      </c>
      <c r="B609" t="s">
        <v>1221</v>
      </c>
      <c r="C609" t="s">
        <v>56</v>
      </c>
      <c r="D609" s="2">
        <v>38</v>
      </c>
      <c r="E609" s="2">
        <v>31</v>
      </c>
      <c r="F609" s="3">
        <v>0.77700000000000002</v>
      </c>
      <c r="G609" s="3">
        <v>3.15E-2</v>
      </c>
      <c r="H609" s="3">
        <v>0.47399999999999998</v>
      </c>
      <c r="I609" s="3">
        <v>5.8999999999999999E-3</v>
      </c>
      <c r="J609" s="3" t="s">
        <v>48</v>
      </c>
      <c r="K609" s="2">
        <v>112</v>
      </c>
      <c r="L609" s="2">
        <v>349</v>
      </c>
      <c r="M609">
        <f t="shared" ca="1" si="9"/>
        <v>0.50634921497226948</v>
      </c>
    </row>
    <row r="610" spans="1:13" x14ac:dyDescent="0.4">
      <c r="A610" t="s">
        <v>1222</v>
      </c>
      <c r="B610" t="s">
        <v>1223</v>
      </c>
      <c r="C610" t="s">
        <v>53</v>
      </c>
      <c r="D610" s="2">
        <v>6</v>
      </c>
      <c r="E610" s="2">
        <v>67</v>
      </c>
      <c r="F610" s="3">
        <v>0.749</v>
      </c>
      <c r="G610" s="3">
        <v>7.6399999999999996E-2</v>
      </c>
      <c r="H610" s="3">
        <v>0.308</v>
      </c>
      <c r="I610" s="3">
        <v>0</v>
      </c>
      <c r="J610" s="3" t="s">
        <v>48</v>
      </c>
      <c r="K610" s="2">
        <v>100</v>
      </c>
      <c r="L610" s="2">
        <v>234</v>
      </c>
      <c r="M610">
        <f t="shared" ca="1" si="9"/>
        <v>0.94902117724909596</v>
      </c>
    </row>
    <row r="611" spans="1:13" x14ac:dyDescent="0.4">
      <c r="A611" t="s">
        <v>1224</v>
      </c>
      <c r="B611" t="s">
        <v>1225</v>
      </c>
      <c r="C611" t="s">
        <v>53</v>
      </c>
      <c r="D611" s="2">
        <v>6</v>
      </c>
      <c r="E611" s="2">
        <v>44</v>
      </c>
      <c r="F611" s="3">
        <v>0.84199999999999997</v>
      </c>
      <c r="G611" s="3">
        <v>0.11899999999999999</v>
      </c>
      <c r="H611" s="3">
        <v>0.31</v>
      </c>
      <c r="I611" s="3">
        <v>0</v>
      </c>
      <c r="J611" s="3" t="s">
        <v>48</v>
      </c>
      <c r="K611" s="2">
        <v>123</v>
      </c>
      <c r="L611" s="2">
        <v>215</v>
      </c>
      <c r="M611">
        <f t="shared" ca="1" si="9"/>
        <v>0.54264955926077818</v>
      </c>
    </row>
    <row r="612" spans="1:13" x14ac:dyDescent="0.4">
      <c r="A612" t="s">
        <v>1226</v>
      </c>
      <c r="B612" t="s">
        <v>1227</v>
      </c>
      <c r="C612" t="s">
        <v>56</v>
      </c>
      <c r="D612" s="2">
        <v>0</v>
      </c>
      <c r="E612" s="2">
        <v>34</v>
      </c>
      <c r="F612" s="3">
        <v>0.59499999999999997</v>
      </c>
      <c r="G612" s="3">
        <v>8.4099999999999994E-2</v>
      </c>
      <c r="H612" s="3">
        <v>2.16E-3</v>
      </c>
      <c r="I612" s="3">
        <v>0.64200000000000002</v>
      </c>
      <c r="J612" s="3" t="s">
        <v>48</v>
      </c>
      <c r="K612" s="2">
        <v>126</v>
      </c>
      <c r="L612" s="2">
        <v>141</v>
      </c>
      <c r="M612">
        <f t="shared" ca="1" si="9"/>
        <v>0.21045563527961597</v>
      </c>
    </row>
    <row r="613" spans="1:13" x14ac:dyDescent="0.4">
      <c r="A613" t="s">
        <v>1228</v>
      </c>
      <c r="B613" t="s">
        <v>1229</v>
      </c>
      <c r="C613" t="s">
        <v>61</v>
      </c>
      <c r="D613" s="2">
        <v>35</v>
      </c>
      <c r="E613" s="2">
        <v>46</v>
      </c>
      <c r="F613" s="3">
        <v>0.58199999999999996</v>
      </c>
      <c r="G613" s="3">
        <v>5.21E-2</v>
      </c>
      <c r="H613" s="3">
        <v>0.432</v>
      </c>
      <c r="I613" s="3">
        <v>0</v>
      </c>
      <c r="J613" s="3" t="s">
        <v>48</v>
      </c>
      <c r="K613" s="2">
        <v>115</v>
      </c>
      <c r="L613" s="2">
        <v>171</v>
      </c>
      <c r="M613">
        <f t="shared" ca="1" si="9"/>
        <v>0.12952838955527435</v>
      </c>
    </row>
    <row r="614" spans="1:13" x14ac:dyDescent="0.4">
      <c r="A614" t="s">
        <v>1230</v>
      </c>
      <c r="B614" t="s">
        <v>1231</v>
      </c>
      <c r="C614" t="s">
        <v>56</v>
      </c>
      <c r="D614" s="2">
        <v>1</v>
      </c>
      <c r="E614" s="2">
        <v>18</v>
      </c>
      <c r="F614" s="3">
        <v>0.68799999999999994</v>
      </c>
      <c r="G614" s="3">
        <v>0.13700000000000001</v>
      </c>
      <c r="H614" s="3">
        <v>5.5599999999999997E-2</v>
      </c>
      <c r="I614" s="3">
        <v>2.6200000000000001E-2</v>
      </c>
      <c r="J614" s="3" t="s">
        <v>48</v>
      </c>
      <c r="K614" s="2">
        <v>128</v>
      </c>
      <c r="L614" s="2">
        <v>167</v>
      </c>
      <c r="M614">
        <f t="shared" ca="1" si="9"/>
        <v>0.14055524301576061</v>
      </c>
    </row>
    <row r="615" spans="1:13" x14ac:dyDescent="0.4">
      <c r="A615" t="s">
        <v>1232</v>
      </c>
      <c r="B615" t="s">
        <v>292</v>
      </c>
      <c r="C615" t="s">
        <v>56</v>
      </c>
      <c r="D615" s="2">
        <v>2</v>
      </c>
      <c r="E615" s="2">
        <v>33</v>
      </c>
      <c r="F615" s="3">
        <v>0.68700000000000006</v>
      </c>
      <c r="G615" s="3">
        <v>3.2199999999999999E-2</v>
      </c>
      <c r="H615" s="3">
        <v>4.3900000000000002E-2</v>
      </c>
      <c r="I615" s="3">
        <v>1.43E-2</v>
      </c>
      <c r="J615" s="3" t="s">
        <v>48</v>
      </c>
      <c r="K615" s="2">
        <v>115</v>
      </c>
      <c r="L615" s="2">
        <v>192</v>
      </c>
      <c r="M615">
        <f t="shared" ca="1" si="9"/>
        <v>0.54780951663937927</v>
      </c>
    </row>
    <row r="616" spans="1:13" x14ac:dyDescent="0.4">
      <c r="A616" t="s">
        <v>1233</v>
      </c>
      <c r="B616" t="s">
        <v>1234</v>
      </c>
      <c r="C616" t="s">
        <v>56</v>
      </c>
      <c r="D616" s="2">
        <v>1</v>
      </c>
      <c r="E616" s="2">
        <v>39</v>
      </c>
      <c r="F616" s="3">
        <v>0.58599999999999997</v>
      </c>
      <c r="G616" s="3">
        <v>5.1700000000000003E-2</v>
      </c>
      <c r="H616" s="4">
        <v>4.9799999999999996E-4</v>
      </c>
      <c r="I616" s="3">
        <v>3.3500000000000002E-2</v>
      </c>
      <c r="J616" s="3" t="s">
        <v>48</v>
      </c>
      <c r="K616" s="2">
        <v>126</v>
      </c>
      <c r="L616" s="2">
        <v>177</v>
      </c>
      <c r="M616">
        <f t="shared" ca="1" si="9"/>
        <v>0.66080957935720208</v>
      </c>
    </row>
    <row r="617" spans="1:13" x14ac:dyDescent="0.4">
      <c r="A617" t="s">
        <v>1235</v>
      </c>
      <c r="B617" t="s">
        <v>1236</v>
      </c>
      <c r="C617" t="s">
        <v>66</v>
      </c>
      <c r="D617" s="2">
        <v>18</v>
      </c>
      <c r="E617" s="2">
        <v>10</v>
      </c>
      <c r="F617" s="3">
        <v>0.79300000000000004</v>
      </c>
      <c r="G617" s="3">
        <v>8.14E-2</v>
      </c>
      <c r="H617" s="3">
        <v>0.128</v>
      </c>
      <c r="I617" s="3">
        <v>0</v>
      </c>
      <c r="J617" s="3" t="s">
        <v>48</v>
      </c>
      <c r="K617" s="2">
        <v>114</v>
      </c>
      <c r="L617" s="2">
        <v>230</v>
      </c>
      <c r="M617">
        <f t="shared" ca="1" si="9"/>
        <v>0.29442394579654574</v>
      </c>
    </row>
    <row r="618" spans="1:13" x14ac:dyDescent="0.4">
      <c r="A618" t="s">
        <v>1237</v>
      </c>
      <c r="B618" t="s">
        <v>1238</v>
      </c>
      <c r="C618" t="s">
        <v>61</v>
      </c>
      <c r="D618" s="2">
        <v>18</v>
      </c>
      <c r="E618" s="2">
        <v>21</v>
      </c>
      <c r="F618" s="3">
        <v>0.57699999999999996</v>
      </c>
      <c r="G618" s="3">
        <v>3.3700000000000001E-2</v>
      </c>
      <c r="H618" s="3">
        <v>8.5000000000000006E-3</v>
      </c>
      <c r="I618" s="3">
        <v>0</v>
      </c>
      <c r="J618" s="3" t="s">
        <v>48</v>
      </c>
      <c r="K618" s="2">
        <v>110</v>
      </c>
      <c r="L618" s="2">
        <v>217</v>
      </c>
      <c r="M618">
        <f t="shared" ca="1" si="9"/>
        <v>0.54644712440661836</v>
      </c>
    </row>
    <row r="619" spans="1:13" x14ac:dyDescent="0.4">
      <c r="A619" t="s">
        <v>1239</v>
      </c>
      <c r="B619" t="s">
        <v>1240</v>
      </c>
      <c r="C619" t="s">
        <v>61</v>
      </c>
      <c r="D619" s="2">
        <v>42</v>
      </c>
      <c r="E619" s="2">
        <v>62</v>
      </c>
      <c r="F619" s="3">
        <v>0.54</v>
      </c>
      <c r="G619" s="3">
        <v>3.0200000000000001E-2</v>
      </c>
      <c r="H619" s="3">
        <v>0.65200000000000002</v>
      </c>
      <c r="I619" s="3">
        <v>5.4400000000000004E-3</v>
      </c>
      <c r="J619" s="3" t="s">
        <v>67</v>
      </c>
      <c r="K619" s="2">
        <v>95</v>
      </c>
      <c r="L619" s="2">
        <v>253</v>
      </c>
      <c r="M619">
        <f t="shared" ca="1" si="9"/>
        <v>0.73749074182549823</v>
      </c>
    </row>
    <row r="620" spans="1:13" x14ac:dyDescent="0.4">
      <c r="A620" t="s">
        <v>1241</v>
      </c>
      <c r="B620" t="s">
        <v>1242</v>
      </c>
      <c r="C620" t="s">
        <v>47</v>
      </c>
      <c r="D620" s="2">
        <v>5</v>
      </c>
      <c r="E620" s="2">
        <v>37</v>
      </c>
      <c r="F620" s="3">
        <v>0.67100000000000004</v>
      </c>
      <c r="G620" s="3">
        <v>4.9599999999999998E-2</v>
      </c>
      <c r="H620" s="3">
        <v>0.58199999999999996</v>
      </c>
      <c r="I620" s="3">
        <v>1.5100000000000001E-2</v>
      </c>
      <c r="J620" s="3" t="s">
        <v>48</v>
      </c>
      <c r="K620" s="2">
        <v>125</v>
      </c>
      <c r="L620" s="2">
        <v>194</v>
      </c>
      <c r="M620">
        <f t="shared" ca="1" si="9"/>
        <v>0.37831789932457993</v>
      </c>
    </row>
    <row r="621" spans="1:13" x14ac:dyDescent="0.4">
      <c r="A621" t="s">
        <v>1243</v>
      </c>
      <c r="B621" t="s">
        <v>1244</v>
      </c>
      <c r="C621" t="s">
        <v>47</v>
      </c>
      <c r="D621" s="2">
        <v>0</v>
      </c>
      <c r="E621" s="2">
        <v>40</v>
      </c>
      <c r="F621" s="3">
        <v>0.55300000000000005</v>
      </c>
      <c r="G621" s="3">
        <v>0.30399999999999999</v>
      </c>
      <c r="H621" s="3">
        <v>3.6299999999999999E-2</v>
      </c>
      <c r="I621" s="3">
        <v>0</v>
      </c>
      <c r="J621" s="3" t="s">
        <v>48</v>
      </c>
      <c r="K621" s="2">
        <v>86</v>
      </c>
      <c r="L621" s="2">
        <v>138</v>
      </c>
      <c r="M621">
        <f t="shared" ca="1" si="9"/>
        <v>0.37371202330348408</v>
      </c>
    </row>
    <row r="622" spans="1:13" x14ac:dyDescent="0.4">
      <c r="A622" t="s">
        <v>1245</v>
      </c>
      <c r="B622" t="s">
        <v>1246</v>
      </c>
      <c r="C622" t="s">
        <v>56</v>
      </c>
      <c r="D622" s="2">
        <v>2</v>
      </c>
      <c r="E622" s="2">
        <v>30</v>
      </c>
      <c r="F622" s="3">
        <v>0.42899999999999999</v>
      </c>
      <c r="G622" s="3">
        <v>0.2</v>
      </c>
      <c r="H622" s="3">
        <v>0.85499999999999998</v>
      </c>
      <c r="I622" s="3">
        <v>0</v>
      </c>
      <c r="J622" s="3" t="s">
        <v>48</v>
      </c>
      <c r="K622" s="2">
        <v>82</v>
      </c>
      <c r="L622" s="2">
        <v>150</v>
      </c>
      <c r="M622">
        <f t="shared" ca="1" si="9"/>
        <v>0.20768272647659269</v>
      </c>
    </row>
    <row r="623" spans="1:13" x14ac:dyDescent="0.4">
      <c r="A623" t="s">
        <v>1247</v>
      </c>
      <c r="B623" t="s">
        <v>1248</v>
      </c>
      <c r="C623" t="s">
        <v>47</v>
      </c>
      <c r="D623" s="2">
        <v>1</v>
      </c>
      <c r="E623" s="2">
        <v>52</v>
      </c>
      <c r="F623" s="3">
        <v>0.52100000000000002</v>
      </c>
      <c r="G623" s="3">
        <v>0.21</v>
      </c>
      <c r="H623" s="3">
        <v>0.34599999999999997</v>
      </c>
      <c r="I623" s="4">
        <v>2.73E-5</v>
      </c>
      <c r="J623" s="3" t="s">
        <v>48</v>
      </c>
      <c r="K623" s="2">
        <v>80</v>
      </c>
      <c r="L623" s="2">
        <v>138</v>
      </c>
      <c r="M623">
        <f t="shared" ca="1" si="9"/>
        <v>0.85252991595530536</v>
      </c>
    </row>
    <row r="624" spans="1:13" x14ac:dyDescent="0.4">
      <c r="A624" t="s">
        <v>1249</v>
      </c>
      <c r="B624" t="s">
        <v>1250</v>
      </c>
      <c r="C624" t="s">
        <v>66</v>
      </c>
      <c r="D624" s="2">
        <v>7</v>
      </c>
      <c r="E624" s="2">
        <v>44</v>
      </c>
      <c r="F624" s="3">
        <v>0.63500000000000001</v>
      </c>
      <c r="G624" s="3">
        <v>0.35399999999999998</v>
      </c>
      <c r="H624" s="3">
        <v>0.69399999999999995</v>
      </c>
      <c r="I624" s="3">
        <v>2.2799999999999999E-3</v>
      </c>
      <c r="J624" s="3" t="s">
        <v>48</v>
      </c>
      <c r="K624" s="2">
        <v>83</v>
      </c>
      <c r="L624" s="2">
        <v>179</v>
      </c>
      <c r="M624">
        <f t="shared" ca="1" si="9"/>
        <v>0.82477205579948687</v>
      </c>
    </row>
    <row r="625" spans="1:13" x14ac:dyDescent="0.4">
      <c r="A625" t="s">
        <v>1251</v>
      </c>
      <c r="B625" t="s">
        <v>1252</v>
      </c>
      <c r="C625" t="s">
        <v>56</v>
      </c>
      <c r="D625" s="2">
        <v>3</v>
      </c>
      <c r="E625" s="2">
        <v>27</v>
      </c>
      <c r="F625" s="3">
        <v>0.52300000000000002</v>
      </c>
      <c r="G625" s="3">
        <v>8.8400000000000006E-2</v>
      </c>
      <c r="H625" s="3">
        <v>6.6900000000000001E-2</v>
      </c>
      <c r="I625" s="3">
        <v>0</v>
      </c>
      <c r="J625" s="3" t="s">
        <v>48</v>
      </c>
      <c r="K625" s="2">
        <v>138</v>
      </c>
      <c r="L625" s="2">
        <v>197</v>
      </c>
      <c r="M625">
        <f t="shared" ca="1" si="9"/>
        <v>0.71757924253533756</v>
      </c>
    </row>
    <row r="626" spans="1:13" x14ac:dyDescent="0.4">
      <c r="A626" t="s">
        <v>1253</v>
      </c>
      <c r="B626" t="s">
        <v>1254</v>
      </c>
      <c r="C626" t="s">
        <v>53</v>
      </c>
      <c r="D626" s="2">
        <v>0</v>
      </c>
      <c r="E626" s="2">
        <v>72</v>
      </c>
      <c r="F626" s="3">
        <v>0.79700000000000004</v>
      </c>
      <c r="G626" s="3">
        <v>0.38700000000000001</v>
      </c>
      <c r="H626" s="3">
        <v>0.114</v>
      </c>
      <c r="I626" s="3">
        <v>0</v>
      </c>
      <c r="J626" s="3" t="s">
        <v>48</v>
      </c>
      <c r="K626" s="2">
        <v>176</v>
      </c>
      <c r="L626" s="2">
        <v>201</v>
      </c>
      <c r="M626">
        <f t="shared" ca="1" si="9"/>
        <v>0.53366465898979509</v>
      </c>
    </row>
    <row r="627" spans="1:13" x14ac:dyDescent="0.4">
      <c r="A627" t="s">
        <v>1255</v>
      </c>
      <c r="B627" t="s">
        <v>1256</v>
      </c>
      <c r="C627" t="s">
        <v>47</v>
      </c>
      <c r="D627" s="2">
        <v>4</v>
      </c>
      <c r="E627" s="2">
        <v>33</v>
      </c>
      <c r="F627" s="3">
        <v>0.76100000000000001</v>
      </c>
      <c r="G627" s="3">
        <v>5.0999999999999997E-2</v>
      </c>
      <c r="H627" s="3">
        <v>0.126</v>
      </c>
      <c r="I627" s="4">
        <v>4.4100000000000001E-6</v>
      </c>
      <c r="J627" s="3" t="s">
        <v>48</v>
      </c>
      <c r="K627" s="2">
        <v>114</v>
      </c>
      <c r="L627" s="2">
        <v>237</v>
      </c>
      <c r="M627">
        <f t="shared" ca="1" si="9"/>
        <v>0.54523637688610094</v>
      </c>
    </row>
    <row r="628" spans="1:13" x14ac:dyDescent="0.4">
      <c r="A628" t="s">
        <v>1257</v>
      </c>
      <c r="B628" t="s">
        <v>1258</v>
      </c>
      <c r="C628" t="s">
        <v>61</v>
      </c>
      <c r="D628" s="2">
        <v>1</v>
      </c>
      <c r="E628" s="2">
        <v>42</v>
      </c>
      <c r="F628" s="3">
        <v>0.54500000000000004</v>
      </c>
      <c r="G628" s="3">
        <v>4.3299999999999998E-2</v>
      </c>
      <c r="H628" s="4">
        <v>3.6699999999999998E-4</v>
      </c>
      <c r="I628" s="3">
        <v>1.9900000000000001E-2</v>
      </c>
      <c r="J628" s="3" t="s">
        <v>48</v>
      </c>
      <c r="K628" s="2">
        <v>108</v>
      </c>
      <c r="L628" s="2">
        <v>220</v>
      </c>
      <c r="M628">
        <f t="shared" ca="1" si="9"/>
        <v>0.42189105860721277</v>
      </c>
    </row>
    <row r="629" spans="1:13" x14ac:dyDescent="0.4">
      <c r="A629" t="s">
        <v>1259</v>
      </c>
      <c r="B629" t="s">
        <v>442</v>
      </c>
      <c r="C629" t="s">
        <v>61</v>
      </c>
      <c r="D629" s="2">
        <v>38</v>
      </c>
      <c r="E629" s="2">
        <v>37</v>
      </c>
      <c r="F629" s="3">
        <v>0.57099999999999995</v>
      </c>
      <c r="G629" s="3">
        <v>2.46E-2</v>
      </c>
      <c r="H629" s="3">
        <v>0.61299999999999999</v>
      </c>
      <c r="I629" s="3">
        <v>0</v>
      </c>
      <c r="J629" s="3" t="s">
        <v>67</v>
      </c>
      <c r="K629" s="2">
        <v>81</v>
      </c>
      <c r="L629" s="2">
        <v>211</v>
      </c>
      <c r="M629">
        <f t="shared" ca="1" si="9"/>
        <v>0.58124383146083236</v>
      </c>
    </row>
    <row r="630" spans="1:13" x14ac:dyDescent="0.4">
      <c r="A630" t="s">
        <v>1260</v>
      </c>
      <c r="B630" t="s">
        <v>1261</v>
      </c>
      <c r="C630" t="s">
        <v>47</v>
      </c>
      <c r="D630" s="2">
        <v>3</v>
      </c>
      <c r="E630" s="2">
        <v>2</v>
      </c>
      <c r="F630" s="3">
        <v>0.69099999999999995</v>
      </c>
      <c r="G630" s="3">
        <v>0.09</v>
      </c>
      <c r="H630" s="3">
        <v>2.86E-2</v>
      </c>
      <c r="I630" s="3">
        <v>0.63300000000000001</v>
      </c>
      <c r="J630" s="3" t="s">
        <v>48</v>
      </c>
      <c r="K630" s="2">
        <v>128</v>
      </c>
      <c r="L630" s="2">
        <v>283</v>
      </c>
      <c r="M630">
        <f t="shared" ca="1" si="9"/>
        <v>2.1153836365749523E-2</v>
      </c>
    </row>
    <row r="631" spans="1:13" x14ac:dyDescent="0.4">
      <c r="A631" t="s">
        <v>1262</v>
      </c>
      <c r="B631" t="s">
        <v>1263</v>
      </c>
      <c r="C631" t="s">
        <v>56</v>
      </c>
      <c r="D631" s="2">
        <v>3</v>
      </c>
      <c r="E631" s="2">
        <v>2</v>
      </c>
      <c r="F631" s="3">
        <v>0.80700000000000005</v>
      </c>
      <c r="G631" s="3">
        <v>6.2799999999999995E-2</v>
      </c>
      <c r="H631" s="3">
        <v>4.0599999999999997E-2</v>
      </c>
      <c r="I631" s="3">
        <v>0.91900000000000004</v>
      </c>
      <c r="J631" s="3" t="s">
        <v>48</v>
      </c>
      <c r="K631" s="2">
        <v>122</v>
      </c>
      <c r="L631" s="2">
        <v>428</v>
      </c>
      <c r="M631">
        <f t="shared" ca="1" si="9"/>
        <v>0.15253185680822023</v>
      </c>
    </row>
    <row r="632" spans="1:13" x14ac:dyDescent="0.4">
      <c r="A632" t="s">
        <v>1264</v>
      </c>
      <c r="B632" t="s">
        <v>1265</v>
      </c>
      <c r="C632" t="s">
        <v>84</v>
      </c>
      <c r="D632" s="2">
        <v>2</v>
      </c>
      <c r="E632" s="2">
        <v>4</v>
      </c>
      <c r="F632" s="3">
        <v>0.84</v>
      </c>
      <c r="G632" s="3">
        <v>9.1800000000000007E-2</v>
      </c>
      <c r="H632" s="3">
        <v>0.216</v>
      </c>
      <c r="I632" s="3">
        <v>0</v>
      </c>
      <c r="J632" s="3" t="s">
        <v>48</v>
      </c>
      <c r="K632" s="2">
        <v>140</v>
      </c>
      <c r="L632" s="2">
        <v>221</v>
      </c>
      <c r="M632">
        <f t="shared" ca="1" si="9"/>
        <v>0.63514793484438081</v>
      </c>
    </row>
    <row r="633" spans="1:13" x14ac:dyDescent="0.4">
      <c r="A633" t="s">
        <v>1266</v>
      </c>
      <c r="B633" t="s">
        <v>1267</v>
      </c>
      <c r="C633" t="s">
        <v>53</v>
      </c>
      <c r="D633" s="2">
        <v>1</v>
      </c>
      <c r="E633" s="2">
        <v>8</v>
      </c>
      <c r="F633" s="3">
        <v>0.59199999999999997</v>
      </c>
      <c r="G633" s="3">
        <v>4.1099999999999998E-2</v>
      </c>
      <c r="H633" s="3">
        <v>0.43099999999999999</v>
      </c>
      <c r="I633" s="3">
        <v>0</v>
      </c>
      <c r="J633" s="3" t="s">
        <v>48</v>
      </c>
      <c r="K633" s="2">
        <v>73</v>
      </c>
      <c r="L633" s="2">
        <v>193</v>
      </c>
      <c r="M633">
        <f t="shared" ca="1" si="9"/>
        <v>0.57499916385764605</v>
      </c>
    </row>
    <row r="634" spans="1:13" x14ac:dyDescent="0.4">
      <c r="A634" t="s">
        <v>1268</v>
      </c>
      <c r="B634" t="s">
        <v>304</v>
      </c>
      <c r="C634" t="s">
        <v>84</v>
      </c>
      <c r="D634" s="2">
        <v>21</v>
      </c>
      <c r="E634" s="2">
        <v>16</v>
      </c>
      <c r="F634" s="3">
        <v>0.92500000000000004</v>
      </c>
      <c r="G634" s="3">
        <v>7.7700000000000005E-2</v>
      </c>
      <c r="H634" s="3">
        <v>9.1999999999999998E-2</v>
      </c>
      <c r="I634" s="3">
        <v>0</v>
      </c>
      <c r="J634" s="3" t="s">
        <v>48</v>
      </c>
      <c r="K634" s="2">
        <v>134</v>
      </c>
      <c r="L634" s="2">
        <v>222</v>
      </c>
      <c r="M634">
        <f t="shared" ca="1" si="9"/>
        <v>0.22463075997653681</v>
      </c>
    </row>
    <row r="635" spans="1:13" x14ac:dyDescent="0.4">
      <c r="A635" t="s">
        <v>1269</v>
      </c>
      <c r="B635" t="s">
        <v>1270</v>
      </c>
      <c r="C635" t="s">
        <v>53</v>
      </c>
      <c r="D635" s="2">
        <v>5</v>
      </c>
      <c r="E635" s="2">
        <v>39</v>
      </c>
      <c r="F635" s="3">
        <v>0.70299999999999996</v>
      </c>
      <c r="G635" s="3">
        <v>6.5299999999999997E-2</v>
      </c>
      <c r="H635" s="3">
        <v>3.6099999999999999E-3</v>
      </c>
      <c r="I635" s="3">
        <v>0.79500000000000004</v>
      </c>
      <c r="J635" s="3" t="s">
        <v>48</v>
      </c>
      <c r="K635" s="2">
        <v>105</v>
      </c>
      <c r="L635" s="2">
        <v>207</v>
      </c>
      <c r="M635">
        <f t="shared" ca="1" si="9"/>
        <v>0.78065677537593448</v>
      </c>
    </row>
    <row r="636" spans="1:13" x14ac:dyDescent="0.4">
      <c r="A636" t="s">
        <v>1271</v>
      </c>
      <c r="B636" t="s">
        <v>1272</v>
      </c>
      <c r="C636" t="s">
        <v>66</v>
      </c>
      <c r="D636" s="2">
        <v>5</v>
      </c>
      <c r="E636" s="2">
        <v>67</v>
      </c>
      <c r="F636" s="3">
        <v>0.42699999999999999</v>
      </c>
      <c r="G636" s="3">
        <v>2.9100000000000001E-2</v>
      </c>
      <c r="H636" s="3">
        <v>0.46100000000000002</v>
      </c>
      <c r="I636" s="4">
        <v>5.52E-5</v>
      </c>
      <c r="J636" s="3" t="s">
        <v>67</v>
      </c>
      <c r="K636" s="2">
        <v>112</v>
      </c>
      <c r="L636" s="2">
        <v>206</v>
      </c>
      <c r="M636">
        <f t="shared" ca="1" si="9"/>
        <v>0.87815008998975963</v>
      </c>
    </row>
    <row r="637" spans="1:13" x14ac:dyDescent="0.4">
      <c r="A637" t="s">
        <v>1273</v>
      </c>
      <c r="B637" t="s">
        <v>1274</v>
      </c>
      <c r="C637" t="s">
        <v>84</v>
      </c>
      <c r="D637" s="2">
        <v>5</v>
      </c>
      <c r="E637" s="2">
        <v>63</v>
      </c>
      <c r="F637" s="3">
        <v>0.8</v>
      </c>
      <c r="G637" s="3">
        <v>0.114</v>
      </c>
      <c r="H637" s="3">
        <v>1.44E-2</v>
      </c>
      <c r="I637" s="3">
        <v>0</v>
      </c>
      <c r="J637" s="3" t="s">
        <v>48</v>
      </c>
      <c r="K637" s="2">
        <v>120</v>
      </c>
      <c r="L637" s="2">
        <v>286</v>
      </c>
      <c r="M637">
        <f t="shared" ca="1" si="9"/>
        <v>0.18337249875157435</v>
      </c>
    </row>
    <row r="638" spans="1:13" x14ac:dyDescent="0.4">
      <c r="A638" t="s">
        <v>1275</v>
      </c>
      <c r="B638" t="s">
        <v>1276</v>
      </c>
      <c r="C638" t="s">
        <v>56</v>
      </c>
      <c r="D638" s="2">
        <v>3</v>
      </c>
      <c r="E638" s="2">
        <v>49</v>
      </c>
      <c r="F638" s="3">
        <v>0.55700000000000005</v>
      </c>
      <c r="G638" s="3">
        <v>4.9200000000000001E-2</v>
      </c>
      <c r="H638" s="3">
        <v>4.6199999999999998E-2</v>
      </c>
      <c r="I638" s="3">
        <v>0</v>
      </c>
      <c r="J638" s="3" t="s">
        <v>48</v>
      </c>
      <c r="K638" s="2">
        <v>147</v>
      </c>
      <c r="L638" s="2">
        <v>205</v>
      </c>
      <c r="M638">
        <f t="shared" ca="1" si="9"/>
        <v>0.96544037598651711</v>
      </c>
    </row>
    <row r="639" spans="1:13" x14ac:dyDescent="0.4">
      <c r="A639" t="s">
        <v>1277</v>
      </c>
      <c r="B639" t="s">
        <v>1278</v>
      </c>
      <c r="C639" t="s">
        <v>53</v>
      </c>
      <c r="D639" s="2">
        <v>1</v>
      </c>
      <c r="E639" s="2">
        <v>8</v>
      </c>
      <c r="F639" s="3">
        <v>0.83199999999999996</v>
      </c>
      <c r="G639" s="3">
        <v>6.3100000000000003E-2</v>
      </c>
      <c r="H639" s="3">
        <v>7.8100000000000003E-2</v>
      </c>
      <c r="I639" s="3">
        <v>3.3500000000000001E-3</v>
      </c>
      <c r="J639" s="3" t="s">
        <v>48</v>
      </c>
      <c r="K639" s="2">
        <v>120</v>
      </c>
      <c r="L639" s="2">
        <v>176</v>
      </c>
      <c r="M639">
        <f t="shared" ca="1" si="9"/>
        <v>0.15179476160083072</v>
      </c>
    </row>
    <row r="640" spans="1:13" x14ac:dyDescent="0.4">
      <c r="A640" t="s">
        <v>1279</v>
      </c>
      <c r="B640" t="s">
        <v>1280</v>
      </c>
      <c r="C640" t="s">
        <v>61</v>
      </c>
      <c r="D640" s="2">
        <v>34</v>
      </c>
      <c r="E640" s="2">
        <v>34</v>
      </c>
      <c r="F640" s="3">
        <v>0.61699999999999999</v>
      </c>
      <c r="G640" s="3">
        <v>3.2300000000000002E-2</v>
      </c>
      <c r="H640" s="3">
        <v>3.3300000000000003E-2</v>
      </c>
      <c r="I640" s="4">
        <v>1.46E-6</v>
      </c>
      <c r="J640" s="3" t="s">
        <v>48</v>
      </c>
      <c r="K640" s="2">
        <v>122</v>
      </c>
      <c r="L640" s="2">
        <v>285</v>
      </c>
      <c r="M640">
        <f t="shared" ca="1" si="9"/>
        <v>0.61236224144566986</v>
      </c>
    </row>
    <row r="641" spans="1:13" x14ac:dyDescent="0.4">
      <c r="A641" t="s">
        <v>1281</v>
      </c>
      <c r="B641" t="s">
        <v>194</v>
      </c>
      <c r="C641" t="s">
        <v>47</v>
      </c>
      <c r="D641" s="2">
        <v>1</v>
      </c>
      <c r="E641" s="2">
        <v>52</v>
      </c>
      <c r="F641" s="3">
        <v>0.54200000000000004</v>
      </c>
      <c r="G641" s="3">
        <v>4.19E-2</v>
      </c>
      <c r="H641" s="3">
        <v>3.3599999999999998E-2</v>
      </c>
      <c r="I641" s="4">
        <v>8.4499999999999994E-5</v>
      </c>
      <c r="J641" s="3" t="s">
        <v>48</v>
      </c>
      <c r="K641" s="2">
        <v>118</v>
      </c>
      <c r="L641" s="2">
        <v>180</v>
      </c>
      <c r="M641">
        <f t="shared" ca="1" si="9"/>
        <v>0.37574154892457534</v>
      </c>
    </row>
    <row r="642" spans="1:13" x14ac:dyDescent="0.4">
      <c r="A642" t="s">
        <v>1282</v>
      </c>
      <c r="B642" t="s">
        <v>1283</v>
      </c>
      <c r="C642" t="s">
        <v>47</v>
      </c>
      <c r="D642" s="2">
        <v>1</v>
      </c>
      <c r="E642" s="2">
        <v>34</v>
      </c>
      <c r="F642" s="3">
        <v>0.53500000000000003</v>
      </c>
      <c r="G642" s="3">
        <v>3.4299999999999997E-2</v>
      </c>
      <c r="H642" s="4">
        <v>6.0899999999999995E-4</v>
      </c>
      <c r="I642" s="3">
        <v>1.09E-2</v>
      </c>
      <c r="J642" s="3" t="s">
        <v>48</v>
      </c>
      <c r="K642" s="2">
        <v>128</v>
      </c>
      <c r="L642" s="2">
        <v>267</v>
      </c>
      <c r="M642">
        <f t="shared" ref="M642:M705" ca="1" si="10">RAND()</f>
        <v>0.27687767901355131</v>
      </c>
    </row>
    <row r="643" spans="1:13" x14ac:dyDescent="0.4">
      <c r="A643" t="s">
        <v>1284</v>
      </c>
      <c r="B643" t="s">
        <v>1285</v>
      </c>
      <c r="C643" t="s">
        <v>84</v>
      </c>
      <c r="D643" s="2">
        <v>11</v>
      </c>
      <c r="E643" s="2">
        <v>32</v>
      </c>
      <c r="F643" s="3">
        <v>0.66100000000000003</v>
      </c>
      <c r="G643" s="3">
        <v>8.6900000000000005E-2</v>
      </c>
      <c r="H643" s="3">
        <v>2.1399999999999999E-2</v>
      </c>
      <c r="I643" s="3">
        <v>5.6600000000000001E-3</v>
      </c>
      <c r="J643" s="3" t="s">
        <v>48</v>
      </c>
      <c r="K643" s="2">
        <v>93</v>
      </c>
      <c r="L643" s="2">
        <v>242</v>
      </c>
      <c r="M643">
        <f t="shared" ca="1" si="10"/>
        <v>0.6070149479020579</v>
      </c>
    </row>
    <row r="644" spans="1:13" x14ac:dyDescent="0.4">
      <c r="A644" t="s">
        <v>1286</v>
      </c>
      <c r="B644" t="s">
        <v>1287</v>
      </c>
      <c r="C644" t="s">
        <v>56</v>
      </c>
      <c r="D644" s="2">
        <v>1</v>
      </c>
      <c r="E644" s="2">
        <v>20</v>
      </c>
      <c r="F644" s="3">
        <v>0.63400000000000001</v>
      </c>
      <c r="G644" s="3">
        <v>0.27100000000000002</v>
      </c>
      <c r="H644" s="3">
        <v>2.3900000000000002E-3</v>
      </c>
      <c r="I644" s="3">
        <v>0.13900000000000001</v>
      </c>
      <c r="J644" s="3" t="s">
        <v>48</v>
      </c>
      <c r="K644" s="2">
        <v>150</v>
      </c>
      <c r="L644" s="2">
        <v>138</v>
      </c>
      <c r="M644">
        <f t="shared" ca="1" si="10"/>
        <v>0.47801938996905979</v>
      </c>
    </row>
    <row r="645" spans="1:13" x14ac:dyDescent="0.4">
      <c r="A645" t="s">
        <v>1288</v>
      </c>
      <c r="B645" t="s">
        <v>1289</v>
      </c>
      <c r="C645" t="s">
        <v>53</v>
      </c>
      <c r="D645" s="2">
        <v>2</v>
      </c>
      <c r="E645" s="2">
        <v>42</v>
      </c>
      <c r="F645" s="3">
        <v>0.59099999999999997</v>
      </c>
      <c r="G645" s="3">
        <v>3.1E-2</v>
      </c>
      <c r="H645" s="3">
        <v>1.0500000000000001E-2</v>
      </c>
      <c r="I645" s="4">
        <v>2.9500000000000001E-6</v>
      </c>
      <c r="J645" s="3" t="s">
        <v>48</v>
      </c>
      <c r="K645" s="2">
        <v>115</v>
      </c>
      <c r="L645" s="2">
        <v>191</v>
      </c>
      <c r="M645">
        <f t="shared" ca="1" si="10"/>
        <v>0.54288015050086269</v>
      </c>
    </row>
    <row r="646" spans="1:13" x14ac:dyDescent="0.4">
      <c r="A646" t="s">
        <v>1290</v>
      </c>
      <c r="B646" t="s">
        <v>1291</v>
      </c>
      <c r="C646" t="s">
        <v>66</v>
      </c>
      <c r="D646" s="2">
        <v>2</v>
      </c>
      <c r="E646" s="2">
        <v>47</v>
      </c>
      <c r="F646" s="3">
        <v>0.67900000000000005</v>
      </c>
      <c r="G646" s="3">
        <v>4.1099999999999998E-2</v>
      </c>
      <c r="H646" s="3">
        <v>0.49199999999999999</v>
      </c>
      <c r="I646" s="3">
        <v>3.8500000000000001E-3</v>
      </c>
      <c r="J646" s="3" t="s">
        <v>67</v>
      </c>
      <c r="K646" s="2">
        <v>87</v>
      </c>
      <c r="L646" s="2">
        <v>360</v>
      </c>
      <c r="M646">
        <f t="shared" ca="1" si="10"/>
        <v>0.59852415997454167</v>
      </c>
    </row>
    <row r="647" spans="1:13" x14ac:dyDescent="0.4">
      <c r="A647" t="s">
        <v>1292</v>
      </c>
      <c r="B647" t="s">
        <v>852</v>
      </c>
      <c r="C647" t="s">
        <v>56</v>
      </c>
      <c r="D647" s="2">
        <v>1</v>
      </c>
      <c r="E647" s="2">
        <v>20</v>
      </c>
      <c r="F647" s="3">
        <v>0.69499999999999995</v>
      </c>
      <c r="G647" s="3">
        <v>0.107</v>
      </c>
      <c r="H647" s="3">
        <v>0.111</v>
      </c>
      <c r="I647" s="3">
        <v>0</v>
      </c>
      <c r="J647" s="3" t="s">
        <v>48</v>
      </c>
      <c r="K647" s="2">
        <v>104</v>
      </c>
      <c r="L647" s="2">
        <v>206</v>
      </c>
      <c r="M647">
        <f t="shared" ca="1" si="10"/>
        <v>0.79037929061514633</v>
      </c>
    </row>
    <row r="648" spans="1:13" x14ac:dyDescent="0.4">
      <c r="A648" t="s">
        <v>1293</v>
      </c>
      <c r="B648" t="s">
        <v>1294</v>
      </c>
      <c r="C648" t="s">
        <v>84</v>
      </c>
      <c r="D648" s="2">
        <v>1</v>
      </c>
      <c r="E648" s="2">
        <v>42</v>
      </c>
      <c r="F648" s="3">
        <v>0.91300000000000003</v>
      </c>
      <c r="G648" s="3">
        <v>0.222</v>
      </c>
      <c r="H648" s="3">
        <v>0.14199999999999999</v>
      </c>
      <c r="I648" s="3">
        <v>0</v>
      </c>
      <c r="J648" s="3" t="s">
        <v>48</v>
      </c>
      <c r="K648" s="2">
        <v>140</v>
      </c>
      <c r="L648" s="2">
        <v>168</v>
      </c>
      <c r="M648">
        <f t="shared" ca="1" si="10"/>
        <v>0.39642818983514827</v>
      </c>
    </row>
    <row r="649" spans="1:13" x14ac:dyDescent="0.4">
      <c r="A649" t="s">
        <v>1295</v>
      </c>
      <c r="B649" t="s">
        <v>1296</v>
      </c>
      <c r="C649" t="s">
        <v>66</v>
      </c>
      <c r="D649" s="2">
        <v>0</v>
      </c>
      <c r="E649" s="2">
        <v>23</v>
      </c>
      <c r="F649" s="3">
        <v>0.63700000000000001</v>
      </c>
      <c r="G649" s="3">
        <v>0.26</v>
      </c>
      <c r="H649" s="3">
        <v>0.52200000000000002</v>
      </c>
      <c r="I649" s="3">
        <v>0</v>
      </c>
      <c r="J649" s="3" t="s">
        <v>48</v>
      </c>
      <c r="K649" s="2">
        <v>172</v>
      </c>
      <c r="L649" s="2">
        <v>230</v>
      </c>
      <c r="M649">
        <f t="shared" ca="1" si="10"/>
        <v>0.29734036033020816</v>
      </c>
    </row>
    <row r="650" spans="1:13" x14ac:dyDescent="0.4">
      <c r="A650" t="s">
        <v>1297</v>
      </c>
      <c r="B650" t="s">
        <v>1298</v>
      </c>
      <c r="C650" t="s">
        <v>56</v>
      </c>
      <c r="D650" s="2">
        <v>1</v>
      </c>
      <c r="E650" s="2">
        <v>18</v>
      </c>
      <c r="F650" s="3">
        <v>0.45700000000000002</v>
      </c>
      <c r="G650" s="3">
        <v>0.20200000000000001</v>
      </c>
      <c r="H650" s="4">
        <v>8.8000000000000003E-4</v>
      </c>
      <c r="I650" s="3">
        <v>0.68700000000000006</v>
      </c>
      <c r="J650" s="3" t="s">
        <v>48</v>
      </c>
      <c r="K650" s="2">
        <v>130</v>
      </c>
      <c r="L650" s="2">
        <v>167</v>
      </c>
      <c r="M650">
        <f t="shared" ca="1" si="10"/>
        <v>0.21669604142369692</v>
      </c>
    </row>
    <row r="651" spans="1:13" x14ac:dyDescent="0.4">
      <c r="A651" t="s">
        <v>1299</v>
      </c>
      <c r="B651" t="s">
        <v>1300</v>
      </c>
      <c r="C651" t="s">
        <v>47</v>
      </c>
      <c r="D651" s="2">
        <v>3</v>
      </c>
      <c r="E651" s="2">
        <v>61</v>
      </c>
      <c r="F651" s="3">
        <v>0.74299999999999999</v>
      </c>
      <c r="G651" s="3">
        <v>3.5200000000000002E-2</v>
      </c>
      <c r="H651" s="3">
        <v>7.0499999999999998E-3</v>
      </c>
      <c r="I651" s="3">
        <v>7.5300000000000002E-3</v>
      </c>
      <c r="J651" s="3" t="s">
        <v>48</v>
      </c>
      <c r="K651" s="2">
        <v>123</v>
      </c>
      <c r="L651" s="2">
        <v>232</v>
      </c>
      <c r="M651">
        <f t="shared" ca="1" si="10"/>
        <v>0.83003919155291639</v>
      </c>
    </row>
    <row r="652" spans="1:13" x14ac:dyDescent="0.4">
      <c r="A652" t="s">
        <v>1301</v>
      </c>
      <c r="B652" t="s">
        <v>1302</v>
      </c>
      <c r="C652" t="s">
        <v>66</v>
      </c>
      <c r="D652" s="2">
        <v>28</v>
      </c>
      <c r="E652" s="2">
        <v>39</v>
      </c>
      <c r="F652" s="3">
        <v>0.73099999999999998</v>
      </c>
      <c r="G652" s="3">
        <v>7.6899999999999996E-2</v>
      </c>
      <c r="H652" s="3">
        <v>5.96E-2</v>
      </c>
      <c r="I652" s="3">
        <v>6.5399999999999998E-3</v>
      </c>
      <c r="J652" s="3" t="s">
        <v>48</v>
      </c>
      <c r="K652" s="2">
        <v>200</v>
      </c>
      <c r="L652" s="2">
        <v>271</v>
      </c>
      <c r="M652">
        <f t="shared" ca="1" si="10"/>
        <v>0.32218339127874984</v>
      </c>
    </row>
    <row r="653" spans="1:13" x14ac:dyDescent="0.4">
      <c r="A653" t="s">
        <v>1303</v>
      </c>
      <c r="B653" t="s">
        <v>1304</v>
      </c>
      <c r="C653" t="s">
        <v>53</v>
      </c>
      <c r="D653" s="2">
        <v>4</v>
      </c>
      <c r="E653" s="2">
        <v>17</v>
      </c>
      <c r="F653" s="3">
        <v>0.54800000000000004</v>
      </c>
      <c r="G653" s="3">
        <v>7.6999999999999999E-2</v>
      </c>
      <c r="H653" s="3">
        <v>0.16400000000000001</v>
      </c>
      <c r="I653" s="3">
        <v>0</v>
      </c>
      <c r="J653" s="3" t="s">
        <v>48</v>
      </c>
      <c r="K653" s="2">
        <v>141</v>
      </c>
      <c r="L653" s="2">
        <v>184</v>
      </c>
      <c r="M653">
        <f t="shared" ca="1" si="10"/>
        <v>0.50926110412516268</v>
      </c>
    </row>
    <row r="654" spans="1:13" x14ac:dyDescent="0.4">
      <c r="A654" t="s">
        <v>1305</v>
      </c>
      <c r="B654" t="s">
        <v>1306</v>
      </c>
      <c r="C654" t="s">
        <v>47</v>
      </c>
      <c r="D654" s="2">
        <v>2</v>
      </c>
      <c r="E654" s="2">
        <v>68</v>
      </c>
      <c r="F654" s="3">
        <v>0.69499999999999995</v>
      </c>
      <c r="G654" s="3">
        <v>7.0599999999999996E-2</v>
      </c>
      <c r="H654" s="3">
        <v>0.48899999999999999</v>
      </c>
      <c r="I654" s="4">
        <v>1.9000000000000001E-4</v>
      </c>
      <c r="J654" s="3" t="s">
        <v>48</v>
      </c>
      <c r="K654" s="2">
        <v>100</v>
      </c>
      <c r="L654" s="2">
        <v>190</v>
      </c>
      <c r="M654">
        <f t="shared" ca="1" si="10"/>
        <v>0.4025534715126996</v>
      </c>
    </row>
    <row r="655" spans="1:13" x14ac:dyDescent="0.4">
      <c r="A655" t="s">
        <v>1307</v>
      </c>
      <c r="B655" t="s">
        <v>1308</v>
      </c>
      <c r="C655" t="s">
        <v>47</v>
      </c>
      <c r="D655" s="2">
        <v>1</v>
      </c>
      <c r="E655" s="2">
        <v>83</v>
      </c>
      <c r="F655" s="3">
        <v>0.68200000000000005</v>
      </c>
      <c r="G655" s="3">
        <v>4.3499999999999997E-2</v>
      </c>
      <c r="H655" s="3">
        <v>7.3700000000000002E-2</v>
      </c>
      <c r="I655" s="3">
        <v>0</v>
      </c>
      <c r="J655" s="3" t="s">
        <v>48</v>
      </c>
      <c r="K655" s="2">
        <v>130</v>
      </c>
      <c r="L655" s="2">
        <v>183</v>
      </c>
      <c r="M655">
        <f t="shared" ca="1" si="10"/>
        <v>0.14544979732629348</v>
      </c>
    </row>
    <row r="656" spans="1:13" x14ac:dyDescent="0.4">
      <c r="A656" t="s">
        <v>1309</v>
      </c>
      <c r="B656" t="s">
        <v>1310</v>
      </c>
      <c r="C656" t="s">
        <v>47</v>
      </c>
      <c r="D656" s="2">
        <v>7</v>
      </c>
      <c r="E656" s="2">
        <v>67</v>
      </c>
      <c r="F656" s="3">
        <v>0.627</v>
      </c>
      <c r="G656" s="3">
        <v>0.314</v>
      </c>
      <c r="H656" s="3">
        <v>0.126</v>
      </c>
      <c r="I656" s="3">
        <v>0</v>
      </c>
      <c r="J656" s="3" t="s">
        <v>48</v>
      </c>
      <c r="K656" s="2">
        <v>168</v>
      </c>
      <c r="L656" s="2">
        <v>198</v>
      </c>
      <c r="M656">
        <f t="shared" ca="1" si="10"/>
        <v>0.91049944560677398</v>
      </c>
    </row>
    <row r="657" spans="1:13" x14ac:dyDescent="0.4">
      <c r="A657" t="s">
        <v>1311</v>
      </c>
      <c r="B657" t="s">
        <v>1312</v>
      </c>
      <c r="C657" t="s">
        <v>66</v>
      </c>
      <c r="D657" s="2">
        <v>16</v>
      </c>
      <c r="E657" s="2">
        <v>48</v>
      </c>
      <c r="F657" s="3">
        <v>0.59499999999999997</v>
      </c>
      <c r="G657" s="3">
        <v>0.245</v>
      </c>
      <c r="H657" s="3">
        <v>0.32</v>
      </c>
      <c r="I657" s="3">
        <v>0</v>
      </c>
      <c r="J657" s="3" t="s">
        <v>48</v>
      </c>
      <c r="K657" s="2">
        <v>136</v>
      </c>
      <c r="L657" s="2">
        <v>226</v>
      </c>
      <c r="M657">
        <f t="shared" ca="1" si="10"/>
        <v>0.47724558349345647</v>
      </c>
    </row>
    <row r="658" spans="1:13" x14ac:dyDescent="0.4">
      <c r="A658" t="s">
        <v>1313</v>
      </c>
      <c r="B658" t="s">
        <v>1314</v>
      </c>
      <c r="C658" t="s">
        <v>61</v>
      </c>
      <c r="D658" s="2">
        <v>8</v>
      </c>
      <c r="E658" s="2">
        <v>29</v>
      </c>
      <c r="F658" s="3">
        <v>0.69699999999999995</v>
      </c>
      <c r="G658" s="3">
        <v>5.67E-2</v>
      </c>
      <c r="H658" s="3">
        <v>0.72099999999999997</v>
      </c>
      <c r="I658" s="4">
        <v>1.29E-5</v>
      </c>
      <c r="J658" s="3" t="s">
        <v>48</v>
      </c>
      <c r="K658" s="2">
        <v>110</v>
      </c>
      <c r="L658" s="2">
        <v>259</v>
      </c>
      <c r="M658">
        <f t="shared" ca="1" si="10"/>
        <v>0.26412624539659468</v>
      </c>
    </row>
    <row r="659" spans="1:13" x14ac:dyDescent="0.4">
      <c r="A659" t="s">
        <v>1315</v>
      </c>
      <c r="B659" t="s">
        <v>1316</v>
      </c>
      <c r="C659" t="s">
        <v>53</v>
      </c>
      <c r="D659" s="2">
        <v>5</v>
      </c>
      <c r="E659" s="2">
        <v>29</v>
      </c>
      <c r="F659" s="3">
        <v>0.67700000000000005</v>
      </c>
      <c r="G659" s="3">
        <v>3.4700000000000002E-2</v>
      </c>
      <c r="H659" s="3">
        <v>2.8400000000000002E-2</v>
      </c>
      <c r="I659" s="3">
        <v>5.5E-2</v>
      </c>
      <c r="J659" s="3" t="s">
        <v>48</v>
      </c>
      <c r="K659" s="2">
        <v>118</v>
      </c>
      <c r="L659" s="2">
        <v>235</v>
      </c>
      <c r="M659">
        <f t="shared" ca="1" si="10"/>
        <v>0.73316622870928572</v>
      </c>
    </row>
    <row r="660" spans="1:13" x14ac:dyDescent="0.4">
      <c r="A660" t="s">
        <v>1317</v>
      </c>
      <c r="B660" t="s">
        <v>1318</v>
      </c>
      <c r="C660" t="s">
        <v>56</v>
      </c>
      <c r="D660" s="2">
        <v>6</v>
      </c>
      <c r="E660" s="2">
        <v>61</v>
      </c>
      <c r="F660" s="3">
        <v>0.72699999999999998</v>
      </c>
      <c r="G660" s="3">
        <v>2.9700000000000001E-2</v>
      </c>
      <c r="H660" s="3">
        <v>0.13</v>
      </c>
      <c r="I660" s="3">
        <v>0</v>
      </c>
      <c r="J660" s="3" t="s">
        <v>48</v>
      </c>
      <c r="K660" s="2">
        <v>105</v>
      </c>
      <c r="L660" s="2">
        <v>228</v>
      </c>
      <c r="M660">
        <f t="shared" ca="1" si="10"/>
        <v>0.5118560136390804</v>
      </c>
    </row>
    <row r="661" spans="1:13" x14ac:dyDescent="0.4">
      <c r="A661" t="s">
        <v>1319</v>
      </c>
      <c r="B661" t="s">
        <v>1320</v>
      </c>
      <c r="C661" t="s">
        <v>84</v>
      </c>
      <c r="D661" s="2">
        <v>4</v>
      </c>
      <c r="E661" s="2">
        <v>59</v>
      </c>
      <c r="F661" s="3">
        <v>0.628</v>
      </c>
      <c r="G661" s="3">
        <v>4.1000000000000002E-2</v>
      </c>
      <c r="H661" s="3">
        <v>1.89E-3</v>
      </c>
      <c r="I661" s="3">
        <v>0</v>
      </c>
      <c r="J661" s="3" t="s">
        <v>48</v>
      </c>
      <c r="K661" s="2">
        <v>142</v>
      </c>
      <c r="L661" s="2">
        <v>228</v>
      </c>
      <c r="M661">
        <f t="shared" ca="1" si="10"/>
        <v>0.41979380217523277</v>
      </c>
    </row>
    <row r="662" spans="1:13" x14ac:dyDescent="0.4">
      <c r="A662" t="s">
        <v>1321</v>
      </c>
      <c r="B662" t="s">
        <v>1322</v>
      </c>
      <c r="C662" t="s">
        <v>56</v>
      </c>
      <c r="D662" s="2">
        <v>3</v>
      </c>
      <c r="E662" s="2">
        <v>26</v>
      </c>
      <c r="F662" s="3">
        <v>0.82399999999999995</v>
      </c>
      <c r="G662" s="3">
        <v>4.7E-2</v>
      </c>
      <c r="H662" s="3">
        <v>4.36E-2</v>
      </c>
      <c r="I662" s="3">
        <v>0.38200000000000001</v>
      </c>
      <c r="J662" s="3" t="s">
        <v>48</v>
      </c>
      <c r="K662" s="2">
        <v>123</v>
      </c>
      <c r="L662" s="2">
        <v>221</v>
      </c>
      <c r="M662">
        <f t="shared" ca="1" si="10"/>
        <v>0.25785634906940802</v>
      </c>
    </row>
    <row r="663" spans="1:13" x14ac:dyDescent="0.4">
      <c r="A663" t="s">
        <v>1323</v>
      </c>
      <c r="B663" t="s">
        <v>1324</v>
      </c>
      <c r="C663" t="s">
        <v>53</v>
      </c>
      <c r="D663" s="2">
        <v>2</v>
      </c>
      <c r="E663" s="2">
        <v>66</v>
      </c>
      <c r="F663" s="3">
        <v>0.80300000000000005</v>
      </c>
      <c r="G663" s="3">
        <v>6.2399999999999997E-2</v>
      </c>
      <c r="H663" s="3">
        <v>0.107</v>
      </c>
      <c r="I663" s="4">
        <v>3.5999999999999998E-6</v>
      </c>
      <c r="J663" s="3" t="s">
        <v>48</v>
      </c>
      <c r="K663" s="2">
        <v>91</v>
      </c>
      <c r="L663" s="2">
        <v>174</v>
      </c>
      <c r="M663">
        <f t="shared" ca="1" si="10"/>
        <v>0.94337016665500439</v>
      </c>
    </row>
    <row r="664" spans="1:13" x14ac:dyDescent="0.4">
      <c r="A664" t="s">
        <v>1325</v>
      </c>
      <c r="B664" t="s">
        <v>1326</v>
      </c>
      <c r="C664" t="s">
        <v>47</v>
      </c>
      <c r="D664" s="2">
        <v>5</v>
      </c>
      <c r="E664" s="2">
        <v>11</v>
      </c>
      <c r="F664" s="3">
        <v>0.65600000000000003</v>
      </c>
      <c r="G664" s="3">
        <v>4.3700000000000003E-2</v>
      </c>
      <c r="H664" s="3">
        <v>0.35499999999999998</v>
      </c>
      <c r="I664" s="3">
        <v>8.0099999999999998E-3</v>
      </c>
      <c r="J664" s="3" t="s">
        <v>48</v>
      </c>
      <c r="K664" s="2">
        <v>107</v>
      </c>
      <c r="L664" s="2">
        <v>263</v>
      </c>
      <c r="M664">
        <f t="shared" ca="1" si="10"/>
        <v>0.40135792945355719</v>
      </c>
    </row>
    <row r="665" spans="1:13" x14ac:dyDescent="0.4">
      <c r="A665" t="s">
        <v>1327</v>
      </c>
      <c r="B665" t="s">
        <v>1328</v>
      </c>
      <c r="C665" t="s">
        <v>53</v>
      </c>
      <c r="D665" s="2">
        <v>5</v>
      </c>
      <c r="E665" s="2">
        <v>54</v>
      </c>
      <c r="F665" s="3">
        <v>0.74399999999999999</v>
      </c>
      <c r="G665" s="3">
        <v>7.51E-2</v>
      </c>
      <c r="H665" s="3">
        <v>9.6199999999999994E-2</v>
      </c>
      <c r="I665" s="3">
        <v>0</v>
      </c>
      <c r="J665" s="3" t="s">
        <v>48</v>
      </c>
      <c r="K665" s="2">
        <v>96</v>
      </c>
      <c r="L665" s="2">
        <v>240</v>
      </c>
      <c r="M665">
        <f t="shared" ca="1" si="10"/>
        <v>0.53327878582251409</v>
      </c>
    </row>
    <row r="666" spans="1:13" x14ac:dyDescent="0.4">
      <c r="A666" t="s">
        <v>1329</v>
      </c>
      <c r="B666" t="s">
        <v>1330</v>
      </c>
      <c r="C666" t="s">
        <v>66</v>
      </c>
      <c r="D666" s="2">
        <v>1</v>
      </c>
      <c r="E666" s="2">
        <v>56</v>
      </c>
      <c r="F666" s="3">
        <v>0.69399999999999995</v>
      </c>
      <c r="G666" s="3">
        <v>0.29699999999999999</v>
      </c>
      <c r="H666" s="3">
        <v>0.14399999999999999</v>
      </c>
      <c r="I666" s="3">
        <v>0</v>
      </c>
      <c r="J666" s="3" t="s">
        <v>48</v>
      </c>
      <c r="K666" s="2">
        <v>100</v>
      </c>
      <c r="L666" s="2">
        <v>234</v>
      </c>
      <c r="M666">
        <f t="shared" ca="1" si="10"/>
        <v>0.56576996371819599</v>
      </c>
    </row>
    <row r="667" spans="1:13" x14ac:dyDescent="0.4">
      <c r="A667" t="s">
        <v>1331</v>
      </c>
      <c r="B667" t="s">
        <v>892</v>
      </c>
      <c r="C667" t="s">
        <v>47</v>
      </c>
      <c r="D667" s="2">
        <v>4</v>
      </c>
      <c r="E667" s="2">
        <v>50</v>
      </c>
      <c r="F667" s="3">
        <v>0.55800000000000005</v>
      </c>
      <c r="G667" s="3">
        <v>6.3799999999999996E-2</v>
      </c>
      <c r="H667" s="3">
        <v>0.60299999999999998</v>
      </c>
      <c r="I667" s="3">
        <v>0</v>
      </c>
      <c r="J667" s="3" t="s">
        <v>48</v>
      </c>
      <c r="K667" s="2">
        <v>124</v>
      </c>
      <c r="L667" s="2">
        <v>282</v>
      </c>
      <c r="M667">
        <f t="shared" ca="1" si="10"/>
        <v>0.27417352669657746</v>
      </c>
    </row>
    <row r="668" spans="1:13" x14ac:dyDescent="0.4">
      <c r="A668" t="s">
        <v>1332</v>
      </c>
      <c r="B668" t="s">
        <v>1333</v>
      </c>
      <c r="C668" t="s">
        <v>47</v>
      </c>
      <c r="D668" s="2">
        <v>3</v>
      </c>
      <c r="E668" s="2">
        <v>8</v>
      </c>
      <c r="F668" s="3">
        <v>0.81499999999999995</v>
      </c>
      <c r="G668" s="3">
        <v>5.11E-2</v>
      </c>
      <c r="H668" s="3">
        <v>2.1399999999999999E-2</v>
      </c>
      <c r="I668" s="3">
        <v>0.57599999999999996</v>
      </c>
      <c r="J668" s="3" t="s">
        <v>67</v>
      </c>
      <c r="K668" s="2">
        <v>90</v>
      </c>
      <c r="L668" s="2">
        <v>239</v>
      </c>
      <c r="M668">
        <f t="shared" ca="1" si="10"/>
        <v>0.82578966425013323</v>
      </c>
    </row>
    <row r="669" spans="1:13" x14ac:dyDescent="0.4">
      <c r="A669" t="s">
        <v>1334</v>
      </c>
      <c r="B669" t="s">
        <v>224</v>
      </c>
      <c r="C669" t="s">
        <v>66</v>
      </c>
      <c r="D669" s="2">
        <v>3</v>
      </c>
      <c r="E669" s="2">
        <v>54</v>
      </c>
      <c r="F669" s="3">
        <v>0.61399999999999999</v>
      </c>
      <c r="G669" s="3">
        <v>6.0499999999999998E-2</v>
      </c>
      <c r="H669" s="3">
        <v>8.8800000000000004E-2</v>
      </c>
      <c r="I669" s="3">
        <v>0.21</v>
      </c>
      <c r="J669" s="3" t="s">
        <v>67</v>
      </c>
      <c r="K669" s="2">
        <v>86</v>
      </c>
      <c r="L669" s="2">
        <v>246</v>
      </c>
      <c r="M669">
        <f t="shared" ca="1" si="10"/>
        <v>0.12810087426940286</v>
      </c>
    </row>
    <row r="670" spans="1:13" x14ac:dyDescent="0.4">
      <c r="A670" t="s">
        <v>1335</v>
      </c>
      <c r="B670" t="s">
        <v>1336</v>
      </c>
      <c r="C670" t="s">
        <v>53</v>
      </c>
      <c r="D670" s="2">
        <v>3</v>
      </c>
      <c r="E670" s="2">
        <v>52</v>
      </c>
      <c r="F670" s="3">
        <v>0.65</v>
      </c>
      <c r="G670" s="3">
        <v>4.8000000000000001E-2</v>
      </c>
      <c r="H670" s="3">
        <v>0.22500000000000001</v>
      </c>
      <c r="I670" s="4">
        <v>1.9100000000000001E-4</v>
      </c>
      <c r="J670" s="3" t="s">
        <v>48</v>
      </c>
      <c r="K670" s="2">
        <v>108</v>
      </c>
      <c r="L670" s="2">
        <v>207</v>
      </c>
      <c r="M670">
        <f t="shared" ca="1" si="10"/>
        <v>0.97528358419747341</v>
      </c>
    </row>
    <row r="671" spans="1:13" x14ac:dyDescent="0.4">
      <c r="A671" t="s">
        <v>1337</v>
      </c>
      <c r="B671" t="s">
        <v>1338</v>
      </c>
      <c r="C671" t="s">
        <v>53</v>
      </c>
      <c r="D671" s="2">
        <v>1</v>
      </c>
      <c r="E671" s="2">
        <v>59</v>
      </c>
      <c r="F671" s="3">
        <v>0.61199999999999999</v>
      </c>
      <c r="G671" s="3">
        <v>0.187</v>
      </c>
      <c r="H671" s="3">
        <v>7.8799999999999995E-2</v>
      </c>
      <c r="I671" s="3">
        <v>0</v>
      </c>
      <c r="J671" s="3" t="s">
        <v>48</v>
      </c>
      <c r="K671" s="2">
        <v>172</v>
      </c>
      <c r="L671" s="2">
        <v>193</v>
      </c>
      <c r="M671">
        <f t="shared" ca="1" si="10"/>
        <v>0.90660320813002604</v>
      </c>
    </row>
    <row r="672" spans="1:13" x14ac:dyDescent="0.4">
      <c r="A672" t="s">
        <v>1339</v>
      </c>
      <c r="B672" t="s">
        <v>300</v>
      </c>
      <c r="C672" t="s">
        <v>56</v>
      </c>
      <c r="D672" s="2">
        <v>1</v>
      </c>
      <c r="E672" s="2">
        <v>45</v>
      </c>
      <c r="F672" s="3">
        <v>0.60299999999999998</v>
      </c>
      <c r="G672" s="3">
        <v>0.16200000000000001</v>
      </c>
      <c r="H672" s="3">
        <v>5.3600000000000002E-2</v>
      </c>
      <c r="I672" s="4">
        <v>8.2700000000000004E-5</v>
      </c>
      <c r="J672" s="3" t="s">
        <v>48</v>
      </c>
      <c r="K672" s="2">
        <v>128</v>
      </c>
      <c r="L672" s="2">
        <v>228</v>
      </c>
      <c r="M672">
        <f t="shared" ca="1" si="10"/>
        <v>0.10337219367886363</v>
      </c>
    </row>
    <row r="673" spans="1:13" x14ac:dyDescent="0.4">
      <c r="A673" t="s">
        <v>1340</v>
      </c>
      <c r="B673" t="s">
        <v>1341</v>
      </c>
      <c r="C673" t="s">
        <v>66</v>
      </c>
      <c r="D673" s="2">
        <v>15</v>
      </c>
      <c r="E673" s="2">
        <v>59</v>
      </c>
      <c r="F673" s="3">
        <v>0.61199999999999999</v>
      </c>
      <c r="G673" s="3">
        <v>0.33300000000000002</v>
      </c>
      <c r="H673" s="3">
        <v>0.107</v>
      </c>
      <c r="I673" s="4">
        <v>4.1699999999999997E-5</v>
      </c>
      <c r="J673" s="3" t="s">
        <v>48</v>
      </c>
      <c r="K673" s="2">
        <v>130</v>
      </c>
      <c r="L673" s="2">
        <v>239</v>
      </c>
      <c r="M673">
        <f t="shared" ca="1" si="10"/>
        <v>0.78296050173503728</v>
      </c>
    </row>
    <row r="674" spans="1:13" x14ac:dyDescent="0.4">
      <c r="A674" t="s">
        <v>1342</v>
      </c>
      <c r="B674" t="s">
        <v>1343</v>
      </c>
      <c r="C674" t="s">
        <v>66</v>
      </c>
      <c r="D674" s="2">
        <v>1</v>
      </c>
      <c r="E674" s="2">
        <v>60</v>
      </c>
      <c r="F674" s="3">
        <v>0.75600000000000001</v>
      </c>
      <c r="G674" s="3">
        <v>5.5100000000000003E-2</v>
      </c>
      <c r="H674" s="3">
        <v>0.253</v>
      </c>
      <c r="I674" s="3">
        <v>0</v>
      </c>
      <c r="J674" s="3" t="s">
        <v>48</v>
      </c>
      <c r="K674" s="2">
        <v>130</v>
      </c>
      <c r="L674" s="2">
        <v>135</v>
      </c>
      <c r="M674">
        <f t="shared" ca="1" si="10"/>
        <v>0.495729984985537</v>
      </c>
    </row>
    <row r="675" spans="1:13" x14ac:dyDescent="0.4">
      <c r="A675" t="s">
        <v>1344</v>
      </c>
      <c r="B675" t="s">
        <v>1345</v>
      </c>
      <c r="C675" t="s">
        <v>47</v>
      </c>
      <c r="D675" s="2">
        <v>7</v>
      </c>
      <c r="E675" s="2">
        <v>48</v>
      </c>
      <c r="F675" s="3">
        <v>0.70199999999999996</v>
      </c>
      <c r="G675" s="3">
        <v>4.07E-2</v>
      </c>
      <c r="H675" s="3">
        <v>2.5500000000000002E-3</v>
      </c>
      <c r="I675" s="4">
        <v>5.94E-5</v>
      </c>
      <c r="J675" s="3" t="s">
        <v>48</v>
      </c>
      <c r="K675" s="2">
        <v>117</v>
      </c>
      <c r="L675" s="2">
        <v>244</v>
      </c>
      <c r="M675">
        <f t="shared" ca="1" si="10"/>
        <v>8.1224950802308737E-2</v>
      </c>
    </row>
    <row r="676" spans="1:13" x14ac:dyDescent="0.4">
      <c r="A676" t="s">
        <v>1346</v>
      </c>
      <c r="B676" t="s">
        <v>58</v>
      </c>
      <c r="C676" t="s">
        <v>53</v>
      </c>
      <c r="D676" s="2">
        <v>4</v>
      </c>
      <c r="E676" s="2">
        <v>65</v>
      </c>
      <c r="F676" s="3">
        <v>0.75900000000000001</v>
      </c>
      <c r="G676" s="3">
        <v>5.9299999999999999E-2</v>
      </c>
      <c r="H676" s="3">
        <v>0.122</v>
      </c>
      <c r="I676" s="4">
        <v>4.5099999999999998E-5</v>
      </c>
      <c r="J676" s="3" t="s">
        <v>48</v>
      </c>
      <c r="K676" s="2">
        <v>89</v>
      </c>
      <c r="L676" s="2">
        <v>212</v>
      </c>
      <c r="M676">
        <f t="shared" ca="1" si="10"/>
        <v>0.52519999398316775</v>
      </c>
    </row>
    <row r="677" spans="1:13" x14ac:dyDescent="0.4">
      <c r="A677" t="s">
        <v>1347</v>
      </c>
      <c r="B677" t="s">
        <v>1348</v>
      </c>
      <c r="C677" t="s">
        <v>66</v>
      </c>
      <c r="D677" s="2">
        <v>1</v>
      </c>
      <c r="E677" s="2">
        <v>39</v>
      </c>
      <c r="F677" s="3">
        <v>0.59099999999999997</v>
      </c>
      <c r="G677" s="3">
        <v>9.2499999999999999E-2</v>
      </c>
      <c r="H677" s="3">
        <v>0.22</v>
      </c>
      <c r="I677" s="3">
        <v>0</v>
      </c>
      <c r="J677" s="3" t="s">
        <v>48</v>
      </c>
      <c r="K677" s="2">
        <v>76</v>
      </c>
      <c r="L677" s="2">
        <v>181</v>
      </c>
      <c r="M677">
        <f t="shared" ca="1" si="10"/>
        <v>0.77875030945916923</v>
      </c>
    </row>
    <row r="678" spans="1:13" x14ac:dyDescent="0.4">
      <c r="A678" t="s">
        <v>1349</v>
      </c>
      <c r="B678" t="s">
        <v>1350</v>
      </c>
      <c r="C678" t="s">
        <v>66</v>
      </c>
      <c r="D678" s="2">
        <v>53</v>
      </c>
      <c r="E678" s="2">
        <v>24</v>
      </c>
      <c r="F678" s="3">
        <v>0.57899999999999996</v>
      </c>
      <c r="G678" s="3">
        <v>3.6400000000000002E-2</v>
      </c>
      <c r="H678" s="3">
        <v>8.5900000000000004E-2</v>
      </c>
      <c r="I678" s="4">
        <v>4.3800000000000004E-6</v>
      </c>
      <c r="J678" s="3" t="s">
        <v>67</v>
      </c>
      <c r="K678" s="2">
        <v>76</v>
      </c>
      <c r="L678" s="2">
        <v>162</v>
      </c>
      <c r="M678">
        <f t="shared" ca="1" si="10"/>
        <v>0.62953158217393235</v>
      </c>
    </row>
    <row r="679" spans="1:13" x14ac:dyDescent="0.4">
      <c r="A679" t="s">
        <v>1351</v>
      </c>
      <c r="B679" t="s">
        <v>1352</v>
      </c>
      <c r="C679" t="s">
        <v>84</v>
      </c>
      <c r="D679" s="2">
        <v>2</v>
      </c>
      <c r="E679" s="2">
        <v>33</v>
      </c>
      <c r="F679" s="3">
        <v>0.64500000000000002</v>
      </c>
      <c r="G679" s="3">
        <v>3.8800000000000001E-2</v>
      </c>
      <c r="H679" s="3">
        <v>0.27900000000000003</v>
      </c>
      <c r="I679" s="3">
        <v>1.0300000000000001E-3</v>
      </c>
      <c r="J679" s="3" t="s">
        <v>67</v>
      </c>
      <c r="K679" s="2">
        <v>140</v>
      </c>
      <c r="L679" s="2">
        <v>185</v>
      </c>
      <c r="M679">
        <f t="shared" ca="1" si="10"/>
        <v>0.41826476973217785</v>
      </c>
    </row>
    <row r="680" spans="1:13" x14ac:dyDescent="0.4">
      <c r="A680" t="s">
        <v>1353</v>
      </c>
      <c r="B680" t="s">
        <v>1354</v>
      </c>
      <c r="C680" t="s">
        <v>53</v>
      </c>
      <c r="D680" s="2">
        <v>2</v>
      </c>
      <c r="E680" s="2">
        <v>65</v>
      </c>
      <c r="F680" s="3">
        <v>0.69299999999999995</v>
      </c>
      <c r="G680" s="3">
        <v>7.2900000000000006E-2</v>
      </c>
      <c r="H680" s="3">
        <v>0.499</v>
      </c>
      <c r="I680" s="4">
        <v>2.6599999999999999E-5</v>
      </c>
      <c r="J680" s="3" t="s">
        <v>48</v>
      </c>
      <c r="K680" s="2">
        <v>186</v>
      </c>
      <c r="L680" s="2">
        <v>190</v>
      </c>
      <c r="M680">
        <f t="shared" ca="1" si="10"/>
        <v>0.51533860736444004</v>
      </c>
    </row>
    <row r="681" spans="1:13" x14ac:dyDescent="0.4">
      <c r="A681" t="s">
        <v>1355</v>
      </c>
      <c r="B681" t="s">
        <v>1356</v>
      </c>
      <c r="C681" t="s">
        <v>53</v>
      </c>
      <c r="D681" s="2">
        <v>22</v>
      </c>
      <c r="E681" s="2">
        <v>68</v>
      </c>
      <c r="F681" s="3">
        <v>0.746</v>
      </c>
      <c r="G681" s="3">
        <v>3.4500000000000003E-2</v>
      </c>
      <c r="H681" s="3">
        <v>4.3799999999999999E-2</v>
      </c>
      <c r="I681" s="4">
        <v>2.5100000000000001E-6</v>
      </c>
      <c r="J681" s="3" t="s">
        <v>48</v>
      </c>
      <c r="K681" s="2">
        <v>120</v>
      </c>
      <c r="L681" s="2">
        <v>268</v>
      </c>
      <c r="M681">
        <f t="shared" ca="1" si="10"/>
        <v>1.9018642953315457E-2</v>
      </c>
    </row>
    <row r="682" spans="1:13" x14ac:dyDescent="0.4">
      <c r="A682" t="s">
        <v>1357</v>
      </c>
      <c r="B682" t="s">
        <v>1358</v>
      </c>
      <c r="C682" t="s">
        <v>66</v>
      </c>
      <c r="D682" s="2">
        <v>24</v>
      </c>
      <c r="E682" s="2">
        <v>49</v>
      </c>
      <c r="F682" s="3">
        <v>0.72799999999999998</v>
      </c>
      <c r="G682" s="3">
        <v>2.58E-2</v>
      </c>
      <c r="H682" s="3">
        <v>0.307</v>
      </c>
      <c r="I682" s="3">
        <v>1.98E-3</v>
      </c>
      <c r="J682" s="3" t="s">
        <v>67</v>
      </c>
      <c r="K682" s="2">
        <v>112</v>
      </c>
      <c r="L682" s="2">
        <v>318</v>
      </c>
      <c r="M682">
        <f t="shared" ca="1" si="10"/>
        <v>0.88807201783099465</v>
      </c>
    </row>
    <row r="683" spans="1:13" x14ac:dyDescent="0.4">
      <c r="A683" t="s">
        <v>1359</v>
      </c>
      <c r="B683" t="s">
        <v>1360</v>
      </c>
      <c r="C683" t="s">
        <v>84</v>
      </c>
      <c r="D683" s="2">
        <v>15</v>
      </c>
      <c r="E683" s="2">
        <v>37</v>
      </c>
      <c r="F683" s="3">
        <v>0.81899999999999995</v>
      </c>
      <c r="G683" s="3">
        <v>0.26300000000000001</v>
      </c>
      <c r="H683" s="3">
        <v>4.8500000000000001E-2</v>
      </c>
      <c r="I683" s="3">
        <v>0</v>
      </c>
      <c r="J683" s="3" t="s">
        <v>48</v>
      </c>
      <c r="K683" s="2">
        <v>91</v>
      </c>
      <c r="L683" s="2">
        <v>226</v>
      </c>
      <c r="M683">
        <f t="shared" ca="1" si="10"/>
        <v>0.26204415163192518</v>
      </c>
    </row>
    <row r="684" spans="1:13" x14ac:dyDescent="0.4">
      <c r="A684" t="s">
        <v>1361</v>
      </c>
      <c r="B684" t="s">
        <v>1362</v>
      </c>
      <c r="C684" t="s">
        <v>56</v>
      </c>
      <c r="D684" s="2">
        <v>2</v>
      </c>
      <c r="E684" s="2">
        <v>29</v>
      </c>
      <c r="F684" s="3">
        <v>0.88700000000000001</v>
      </c>
      <c r="G684" s="3">
        <v>5.8099999999999999E-2</v>
      </c>
      <c r="H684" s="3">
        <v>7.8300000000000002E-3</v>
      </c>
      <c r="I684" s="4">
        <v>4.7199999999999998E-4</v>
      </c>
      <c r="J684" s="3" t="s">
        <v>48</v>
      </c>
      <c r="K684" s="2">
        <v>123</v>
      </c>
      <c r="L684" s="2">
        <v>209</v>
      </c>
      <c r="M684">
        <f t="shared" ca="1" si="10"/>
        <v>0.3686365642479682</v>
      </c>
    </row>
    <row r="685" spans="1:13" x14ac:dyDescent="0.4">
      <c r="A685" t="s">
        <v>1363</v>
      </c>
      <c r="B685" t="s">
        <v>81</v>
      </c>
      <c r="C685" t="s">
        <v>47</v>
      </c>
      <c r="D685" s="2">
        <v>8</v>
      </c>
      <c r="E685" s="2">
        <v>62</v>
      </c>
      <c r="F685" s="3">
        <v>0.60899999999999999</v>
      </c>
      <c r="G685" s="3">
        <v>3.4000000000000002E-2</v>
      </c>
      <c r="H685" s="3">
        <v>1.37E-2</v>
      </c>
      <c r="I685" s="3">
        <v>3.49E-3</v>
      </c>
      <c r="J685" s="3" t="s">
        <v>48</v>
      </c>
      <c r="K685" s="2">
        <v>130</v>
      </c>
      <c r="L685" s="2">
        <v>243</v>
      </c>
      <c r="M685">
        <f t="shared" ca="1" si="10"/>
        <v>0.93151665730826394</v>
      </c>
    </row>
    <row r="686" spans="1:13" x14ac:dyDescent="0.4">
      <c r="A686" t="s">
        <v>1364</v>
      </c>
      <c r="B686" t="s">
        <v>1365</v>
      </c>
      <c r="C686" t="s">
        <v>56</v>
      </c>
      <c r="D686" s="2">
        <v>6</v>
      </c>
      <c r="E686" s="2">
        <v>36</v>
      </c>
      <c r="F686" s="3">
        <v>0.61699999999999999</v>
      </c>
      <c r="G686" s="3">
        <v>4.9700000000000001E-2</v>
      </c>
      <c r="H686" s="3">
        <v>2.1700000000000001E-3</v>
      </c>
      <c r="I686" s="3">
        <v>4.9800000000000001E-3</v>
      </c>
      <c r="J686" s="3" t="s">
        <v>48</v>
      </c>
      <c r="K686" s="2">
        <v>124</v>
      </c>
      <c r="L686" s="2">
        <v>306</v>
      </c>
      <c r="M686">
        <f t="shared" ca="1" si="10"/>
        <v>0.51853095926040671</v>
      </c>
    </row>
    <row r="687" spans="1:13" x14ac:dyDescent="0.4">
      <c r="A687" t="s">
        <v>1366</v>
      </c>
      <c r="B687" t="s">
        <v>1367</v>
      </c>
      <c r="C687" t="s">
        <v>61</v>
      </c>
      <c r="D687" s="2">
        <v>1</v>
      </c>
      <c r="E687" s="2">
        <v>50</v>
      </c>
      <c r="F687" s="3">
        <v>0.56999999999999995</v>
      </c>
      <c r="G687" s="3">
        <v>0.14399999999999999</v>
      </c>
      <c r="H687" s="4">
        <v>1.5899999999999999E-4</v>
      </c>
      <c r="I687" s="3">
        <v>1.1000000000000001E-3</v>
      </c>
      <c r="J687" s="3" t="s">
        <v>48</v>
      </c>
      <c r="K687" s="2">
        <v>95</v>
      </c>
      <c r="L687" s="2">
        <v>206</v>
      </c>
      <c r="M687">
        <f t="shared" ca="1" si="10"/>
        <v>0.15563499966998151</v>
      </c>
    </row>
    <row r="688" spans="1:13" x14ac:dyDescent="0.4">
      <c r="A688" t="s">
        <v>1368</v>
      </c>
      <c r="B688" t="s">
        <v>1369</v>
      </c>
      <c r="C688" t="s">
        <v>61</v>
      </c>
      <c r="D688" s="2">
        <v>1</v>
      </c>
      <c r="E688" s="2">
        <v>33</v>
      </c>
      <c r="F688" s="3">
        <v>0.54600000000000004</v>
      </c>
      <c r="G688" s="3">
        <v>3.1800000000000002E-2</v>
      </c>
      <c r="H688" s="3">
        <v>0.71699999999999997</v>
      </c>
      <c r="I688" s="3">
        <v>0.14899999999999999</v>
      </c>
      <c r="J688" s="3" t="s">
        <v>67</v>
      </c>
      <c r="K688" s="2">
        <v>78</v>
      </c>
      <c r="L688" s="2">
        <v>182</v>
      </c>
      <c r="M688">
        <f t="shared" ca="1" si="10"/>
        <v>0.86043937185210984</v>
      </c>
    </row>
    <row r="689" spans="1:13" x14ac:dyDescent="0.4">
      <c r="A689" t="s">
        <v>1370</v>
      </c>
      <c r="B689" t="s">
        <v>1371</v>
      </c>
      <c r="C689" t="s">
        <v>56</v>
      </c>
      <c r="D689" s="2">
        <v>8</v>
      </c>
      <c r="E689" s="2">
        <v>35</v>
      </c>
      <c r="F689" s="3">
        <v>0.56499999999999995</v>
      </c>
      <c r="G689" s="3">
        <v>3.5799999999999998E-2</v>
      </c>
      <c r="H689" s="4">
        <v>8.1700000000000002E-4</v>
      </c>
      <c r="I689" s="3">
        <v>0.69799999999999995</v>
      </c>
      <c r="J689" s="3" t="s">
        <v>48</v>
      </c>
      <c r="K689" s="2">
        <v>128</v>
      </c>
      <c r="L689" s="2">
        <v>390</v>
      </c>
      <c r="M689">
        <f t="shared" ca="1" si="10"/>
        <v>0.62701362613621991</v>
      </c>
    </row>
    <row r="690" spans="1:13" x14ac:dyDescent="0.4">
      <c r="A690" t="s">
        <v>1372</v>
      </c>
      <c r="B690" t="s">
        <v>260</v>
      </c>
      <c r="C690" t="s">
        <v>56</v>
      </c>
      <c r="D690" s="2">
        <v>5</v>
      </c>
      <c r="E690" s="2">
        <v>58</v>
      </c>
      <c r="F690" s="3">
        <v>0.59299999999999997</v>
      </c>
      <c r="G690" s="3">
        <v>5.7500000000000002E-2</v>
      </c>
      <c r="H690" s="3">
        <v>9.4500000000000001E-2</v>
      </c>
      <c r="I690" s="3">
        <v>4.28E-3</v>
      </c>
      <c r="J690" s="3" t="s">
        <v>48</v>
      </c>
      <c r="K690" s="2">
        <v>128</v>
      </c>
      <c r="L690" s="2">
        <v>188</v>
      </c>
      <c r="M690">
        <f t="shared" ca="1" si="10"/>
        <v>0.11175990941284453</v>
      </c>
    </row>
    <row r="691" spans="1:13" x14ac:dyDescent="0.4">
      <c r="A691" t="s">
        <v>1373</v>
      </c>
      <c r="B691" t="s">
        <v>1374</v>
      </c>
      <c r="C691" t="s">
        <v>84</v>
      </c>
      <c r="D691" s="2">
        <v>23</v>
      </c>
      <c r="E691" s="2">
        <v>40</v>
      </c>
      <c r="F691" s="3">
        <v>0.58299999999999996</v>
      </c>
      <c r="G691" s="3">
        <v>0.29799999999999999</v>
      </c>
      <c r="H691" s="3">
        <v>6.7500000000000004E-2</v>
      </c>
      <c r="I691" s="4">
        <v>1.17E-5</v>
      </c>
      <c r="J691" s="3" t="s">
        <v>48</v>
      </c>
      <c r="K691" s="2">
        <v>155</v>
      </c>
      <c r="L691" s="2">
        <v>191</v>
      </c>
      <c r="M691">
        <f t="shared" ca="1" si="10"/>
        <v>0.34482516506786942</v>
      </c>
    </row>
    <row r="692" spans="1:13" x14ac:dyDescent="0.4">
      <c r="A692" t="s">
        <v>1375</v>
      </c>
      <c r="B692" t="s">
        <v>1376</v>
      </c>
      <c r="C692" t="s">
        <v>84</v>
      </c>
      <c r="D692" s="2">
        <v>2</v>
      </c>
      <c r="E692" s="2">
        <v>3</v>
      </c>
      <c r="F692" s="3">
        <v>0.69</v>
      </c>
      <c r="G692" s="3">
        <v>8.1699999999999995E-2</v>
      </c>
      <c r="H692" s="3">
        <v>0.18099999999999999</v>
      </c>
      <c r="I692" s="3">
        <v>0</v>
      </c>
      <c r="J692" s="3" t="s">
        <v>67</v>
      </c>
      <c r="K692" s="2">
        <v>130</v>
      </c>
      <c r="L692" s="2">
        <v>226</v>
      </c>
      <c r="M692">
        <f t="shared" ca="1" si="10"/>
        <v>0.29323682970192877</v>
      </c>
    </row>
    <row r="693" spans="1:13" x14ac:dyDescent="0.4">
      <c r="A693" t="s">
        <v>1377</v>
      </c>
      <c r="B693" t="s">
        <v>1378</v>
      </c>
      <c r="C693" t="s">
        <v>84</v>
      </c>
      <c r="D693" s="2">
        <v>0</v>
      </c>
      <c r="E693" s="2">
        <v>57</v>
      </c>
      <c r="F693" s="3">
        <v>0.80900000000000005</v>
      </c>
      <c r="G693" s="3">
        <v>0.186</v>
      </c>
      <c r="H693" s="3">
        <v>0.26</v>
      </c>
      <c r="I693" s="4">
        <v>1.0499999999999999E-5</v>
      </c>
      <c r="J693" s="3" t="s">
        <v>48</v>
      </c>
      <c r="K693" s="2">
        <v>140</v>
      </c>
      <c r="L693" s="2">
        <v>214</v>
      </c>
      <c r="M693">
        <f t="shared" ca="1" si="10"/>
        <v>0.8055840914391128</v>
      </c>
    </row>
    <row r="694" spans="1:13" x14ac:dyDescent="0.4">
      <c r="A694" t="s">
        <v>1379</v>
      </c>
      <c r="B694" t="s">
        <v>1380</v>
      </c>
      <c r="C694" t="s">
        <v>84</v>
      </c>
      <c r="D694" s="2">
        <v>1</v>
      </c>
      <c r="E694" s="2">
        <v>56</v>
      </c>
      <c r="F694" s="3">
        <v>0.97</v>
      </c>
      <c r="G694" s="3">
        <v>0.30399999999999999</v>
      </c>
      <c r="H694" s="3">
        <v>9.5299999999999996E-2</v>
      </c>
      <c r="I694" s="4">
        <v>4.1199999999999999E-5</v>
      </c>
      <c r="J694" s="3" t="s">
        <v>67</v>
      </c>
      <c r="K694" s="2">
        <v>125</v>
      </c>
      <c r="L694" s="2">
        <v>200</v>
      </c>
      <c r="M694">
        <f t="shared" ca="1" si="10"/>
        <v>0.95334627222236423</v>
      </c>
    </row>
    <row r="695" spans="1:13" x14ac:dyDescent="0.4">
      <c r="A695" t="s">
        <v>1381</v>
      </c>
      <c r="B695" t="s">
        <v>1382</v>
      </c>
      <c r="C695" t="s">
        <v>53</v>
      </c>
      <c r="D695" s="2">
        <v>5</v>
      </c>
      <c r="E695" s="2">
        <v>50</v>
      </c>
      <c r="F695" s="3">
        <v>0.67500000000000004</v>
      </c>
      <c r="G695" s="3">
        <v>0.35899999999999999</v>
      </c>
      <c r="H695" s="3">
        <v>0.14499999999999999</v>
      </c>
      <c r="I695" s="3">
        <v>0</v>
      </c>
      <c r="J695" s="3" t="s">
        <v>48</v>
      </c>
      <c r="K695" s="2">
        <v>90</v>
      </c>
      <c r="L695" s="2">
        <v>296</v>
      </c>
      <c r="M695">
        <f t="shared" ca="1" si="10"/>
        <v>0.1582874743267435</v>
      </c>
    </row>
    <row r="696" spans="1:13" x14ac:dyDescent="0.4">
      <c r="A696" t="s">
        <v>1383</v>
      </c>
      <c r="B696" t="s">
        <v>1384</v>
      </c>
      <c r="C696" t="s">
        <v>84</v>
      </c>
      <c r="D696" s="2">
        <v>2</v>
      </c>
      <c r="E696" s="2">
        <v>53</v>
      </c>
      <c r="F696" s="3">
        <v>0.69899999999999995</v>
      </c>
      <c r="G696" s="3">
        <v>3.4000000000000002E-2</v>
      </c>
      <c r="H696" s="3">
        <v>0.182</v>
      </c>
      <c r="I696" s="4">
        <v>4.0099999999999997E-6</v>
      </c>
      <c r="J696" s="3" t="s">
        <v>48</v>
      </c>
      <c r="K696" s="2">
        <v>91</v>
      </c>
      <c r="L696" s="2">
        <v>206</v>
      </c>
      <c r="M696">
        <f t="shared" ca="1" si="10"/>
        <v>0.45439188596711566</v>
      </c>
    </row>
    <row r="697" spans="1:13" x14ac:dyDescent="0.4">
      <c r="A697" t="s">
        <v>1385</v>
      </c>
      <c r="B697" t="s">
        <v>1386</v>
      </c>
      <c r="C697" t="s">
        <v>61</v>
      </c>
      <c r="D697" s="2">
        <v>46</v>
      </c>
      <c r="E697" s="2">
        <v>59</v>
      </c>
      <c r="F697" s="3">
        <v>0.66900000000000004</v>
      </c>
      <c r="G697" s="3">
        <v>3.4500000000000003E-2</v>
      </c>
      <c r="H697" s="3">
        <v>0.245</v>
      </c>
      <c r="I697" s="3">
        <v>5.3499999999999997E-3</v>
      </c>
      <c r="J697" s="3" t="s">
        <v>48</v>
      </c>
      <c r="K697" s="2">
        <v>105</v>
      </c>
      <c r="L697" s="2">
        <v>224</v>
      </c>
      <c r="M697">
        <f t="shared" ca="1" si="10"/>
        <v>0.71348335560919762</v>
      </c>
    </row>
    <row r="698" spans="1:13" x14ac:dyDescent="0.4">
      <c r="A698" t="s">
        <v>1387</v>
      </c>
      <c r="B698" t="s">
        <v>1388</v>
      </c>
      <c r="C698" t="s">
        <v>84</v>
      </c>
      <c r="D698" s="2">
        <v>12</v>
      </c>
      <c r="E698" s="2">
        <v>10</v>
      </c>
      <c r="F698" s="3">
        <v>0.70099999999999996</v>
      </c>
      <c r="G698" s="3">
        <v>0.48399999999999999</v>
      </c>
      <c r="H698" s="3">
        <v>2.9899999999999999E-2</v>
      </c>
      <c r="I698" s="4">
        <v>7.4099999999999999E-5</v>
      </c>
      <c r="J698" s="3" t="s">
        <v>48</v>
      </c>
      <c r="K698" s="2">
        <v>72</v>
      </c>
      <c r="L698" s="2">
        <v>360</v>
      </c>
      <c r="M698">
        <f t="shared" ca="1" si="10"/>
        <v>0.98340687013213213</v>
      </c>
    </row>
    <row r="699" spans="1:13" x14ac:dyDescent="0.4">
      <c r="A699" t="s">
        <v>1389</v>
      </c>
      <c r="B699" t="s">
        <v>1231</v>
      </c>
      <c r="C699" t="s">
        <v>56</v>
      </c>
      <c r="D699" s="2">
        <v>1</v>
      </c>
      <c r="E699" s="2">
        <v>15</v>
      </c>
      <c r="F699" s="3">
        <v>0.76800000000000002</v>
      </c>
      <c r="G699" s="3">
        <v>0.154</v>
      </c>
      <c r="H699" s="3">
        <v>3.2099999999999997E-2</v>
      </c>
      <c r="I699" s="3">
        <v>0.52900000000000003</v>
      </c>
      <c r="J699" s="3" t="s">
        <v>48</v>
      </c>
      <c r="K699" s="2">
        <v>125</v>
      </c>
      <c r="L699" s="2">
        <v>169</v>
      </c>
      <c r="M699">
        <f t="shared" ca="1" si="10"/>
        <v>2.1035246732426738E-2</v>
      </c>
    </row>
    <row r="700" spans="1:13" x14ac:dyDescent="0.4">
      <c r="A700" t="s">
        <v>1390</v>
      </c>
      <c r="B700" t="s">
        <v>1391</v>
      </c>
      <c r="C700" t="s">
        <v>47</v>
      </c>
      <c r="D700" s="2">
        <v>1</v>
      </c>
      <c r="E700" s="2">
        <v>24</v>
      </c>
      <c r="F700" s="3">
        <v>0.67900000000000005</v>
      </c>
      <c r="G700" s="3">
        <v>7.8100000000000003E-2</v>
      </c>
      <c r="H700" s="3">
        <v>0.45500000000000002</v>
      </c>
      <c r="I700" s="4">
        <v>2.4099999999999998E-6</v>
      </c>
      <c r="J700" s="3" t="s">
        <v>48</v>
      </c>
      <c r="K700" s="2">
        <v>93</v>
      </c>
      <c r="L700" s="2">
        <v>183</v>
      </c>
      <c r="M700">
        <f t="shared" ca="1" si="10"/>
        <v>8.6819325762235833E-2</v>
      </c>
    </row>
    <row r="701" spans="1:13" x14ac:dyDescent="0.4">
      <c r="A701" t="s">
        <v>1392</v>
      </c>
      <c r="B701" t="s">
        <v>1393</v>
      </c>
      <c r="C701" t="s">
        <v>66</v>
      </c>
      <c r="D701" s="2">
        <v>17</v>
      </c>
      <c r="E701" s="2">
        <v>33</v>
      </c>
      <c r="F701" s="3">
        <v>0.84699999999999998</v>
      </c>
      <c r="G701" s="3">
        <v>6.4199999999999993E-2</v>
      </c>
      <c r="H701" s="3">
        <v>5.1999999999999998E-2</v>
      </c>
      <c r="I701" s="3">
        <v>4.0200000000000001E-3</v>
      </c>
      <c r="J701" s="3" t="s">
        <v>48</v>
      </c>
      <c r="K701" s="2">
        <v>141</v>
      </c>
      <c r="L701" s="2">
        <v>183</v>
      </c>
      <c r="M701">
        <f t="shared" ca="1" si="10"/>
        <v>0.74115278490677006</v>
      </c>
    </row>
    <row r="702" spans="1:13" x14ac:dyDescent="0.4">
      <c r="A702" t="s">
        <v>1394</v>
      </c>
      <c r="B702" t="s">
        <v>1395</v>
      </c>
      <c r="C702" t="s">
        <v>53</v>
      </c>
      <c r="D702" s="2">
        <v>1</v>
      </c>
      <c r="E702" s="2">
        <v>73</v>
      </c>
      <c r="F702" s="3">
        <v>0.747</v>
      </c>
      <c r="G702" s="3">
        <v>4.8099999999999997E-2</v>
      </c>
      <c r="H702" s="3">
        <v>0.14899999999999999</v>
      </c>
      <c r="I702" s="4">
        <v>1.0699999999999999E-6</v>
      </c>
      <c r="J702" s="3" t="s">
        <v>48</v>
      </c>
      <c r="K702" s="2">
        <v>108</v>
      </c>
      <c r="L702" s="2">
        <v>219</v>
      </c>
      <c r="M702">
        <f t="shared" ca="1" si="10"/>
        <v>0.90051105585578095</v>
      </c>
    </row>
    <row r="703" spans="1:13" x14ac:dyDescent="0.4">
      <c r="A703" t="s">
        <v>1396</v>
      </c>
      <c r="B703" t="s">
        <v>1397</v>
      </c>
      <c r="C703" t="s">
        <v>61</v>
      </c>
      <c r="D703" s="2">
        <v>17</v>
      </c>
      <c r="E703" s="2">
        <v>70</v>
      </c>
      <c r="F703" s="3">
        <v>0.498</v>
      </c>
      <c r="G703" s="3">
        <v>4.2099999999999999E-2</v>
      </c>
      <c r="H703" s="3">
        <v>4.6100000000000004E-3</v>
      </c>
      <c r="I703" s="3">
        <v>0</v>
      </c>
      <c r="J703" s="3" t="s">
        <v>48</v>
      </c>
      <c r="K703" s="2">
        <v>89</v>
      </c>
      <c r="L703" s="2">
        <v>231</v>
      </c>
      <c r="M703">
        <f t="shared" ca="1" si="10"/>
        <v>8.1480644814102776E-2</v>
      </c>
    </row>
    <row r="704" spans="1:13" x14ac:dyDescent="0.4">
      <c r="A704" t="s">
        <v>1398</v>
      </c>
      <c r="B704" t="s">
        <v>1399</v>
      </c>
      <c r="C704" t="s">
        <v>66</v>
      </c>
      <c r="D704" s="2">
        <v>1</v>
      </c>
      <c r="E704" s="2">
        <v>58</v>
      </c>
      <c r="F704" s="3">
        <v>0.39100000000000001</v>
      </c>
      <c r="G704" s="3">
        <v>4.6199999999999998E-2</v>
      </c>
      <c r="H704" s="3">
        <v>9.4600000000000004E-2</v>
      </c>
      <c r="I704" s="4">
        <v>1.5800000000000001E-5</v>
      </c>
      <c r="J704" s="3" t="s">
        <v>48</v>
      </c>
      <c r="K704" s="2">
        <v>180</v>
      </c>
      <c r="L704" s="2">
        <v>247</v>
      </c>
      <c r="M704">
        <f t="shared" ca="1" si="10"/>
        <v>0.90683407124281334</v>
      </c>
    </row>
    <row r="705" spans="1:13" x14ac:dyDescent="0.4">
      <c r="A705" t="s">
        <v>1400</v>
      </c>
      <c r="B705" t="s">
        <v>1401</v>
      </c>
      <c r="C705" t="s">
        <v>84</v>
      </c>
      <c r="D705" s="2">
        <v>4</v>
      </c>
      <c r="E705" s="2">
        <v>35</v>
      </c>
      <c r="F705" s="3">
        <v>0.45700000000000002</v>
      </c>
      <c r="G705" s="3">
        <v>0.25</v>
      </c>
      <c r="H705" s="3">
        <v>0.81299999999999994</v>
      </c>
      <c r="I705" s="4">
        <v>1.9100000000000001E-4</v>
      </c>
      <c r="J705" s="3" t="s">
        <v>67</v>
      </c>
      <c r="K705" s="2">
        <v>81</v>
      </c>
      <c r="L705" s="2">
        <v>294</v>
      </c>
      <c r="M705">
        <f t="shared" ca="1" si="10"/>
        <v>0.81208652499752221</v>
      </c>
    </row>
    <row r="706" spans="1:13" x14ac:dyDescent="0.4">
      <c r="A706" t="s">
        <v>1402</v>
      </c>
      <c r="B706" t="s">
        <v>566</v>
      </c>
      <c r="C706" t="s">
        <v>66</v>
      </c>
      <c r="D706" s="2">
        <v>10</v>
      </c>
      <c r="E706" s="2">
        <v>59</v>
      </c>
      <c r="F706" s="3">
        <v>0.47899999999999998</v>
      </c>
      <c r="G706" s="3">
        <v>0.188</v>
      </c>
      <c r="H706" s="3">
        <v>4.0599999999999997E-2</v>
      </c>
      <c r="I706" s="3">
        <v>0</v>
      </c>
      <c r="J706" s="3" t="s">
        <v>48</v>
      </c>
      <c r="K706" s="2">
        <v>156</v>
      </c>
      <c r="L706" s="2">
        <v>267</v>
      </c>
      <c r="M706">
        <f t="shared" ref="M706:M769" ca="1" si="11">RAND()</f>
        <v>0.68730778765989409</v>
      </c>
    </row>
    <row r="707" spans="1:13" x14ac:dyDescent="0.4">
      <c r="A707" t="s">
        <v>1403</v>
      </c>
      <c r="B707" t="s">
        <v>1076</v>
      </c>
      <c r="C707" t="s">
        <v>66</v>
      </c>
      <c r="D707" s="2">
        <v>2</v>
      </c>
      <c r="E707" s="2">
        <v>61</v>
      </c>
      <c r="F707" s="3">
        <v>0.61599999999999999</v>
      </c>
      <c r="G707" s="3">
        <v>3.3500000000000002E-2</v>
      </c>
      <c r="H707" s="3">
        <v>0.23100000000000001</v>
      </c>
      <c r="I707" s="3">
        <v>0</v>
      </c>
      <c r="J707" s="3" t="s">
        <v>48</v>
      </c>
      <c r="K707" s="2">
        <v>95</v>
      </c>
      <c r="L707" s="2">
        <v>187</v>
      </c>
      <c r="M707">
        <f t="shared" ca="1" si="11"/>
        <v>0.83888969402733882</v>
      </c>
    </row>
    <row r="708" spans="1:13" x14ac:dyDescent="0.4">
      <c r="A708" t="s">
        <v>1404</v>
      </c>
      <c r="B708" t="s">
        <v>1405</v>
      </c>
      <c r="C708" t="s">
        <v>61</v>
      </c>
      <c r="D708" s="2">
        <v>2</v>
      </c>
      <c r="E708" s="2">
        <v>48</v>
      </c>
      <c r="F708" s="3">
        <v>0.26600000000000001</v>
      </c>
      <c r="G708" s="3">
        <v>4.6399999999999997E-2</v>
      </c>
      <c r="H708" s="3">
        <v>3.13E-3</v>
      </c>
      <c r="I708" s="4">
        <v>1.92E-4</v>
      </c>
      <c r="J708" s="3" t="s">
        <v>48</v>
      </c>
      <c r="K708" s="2">
        <v>137</v>
      </c>
      <c r="L708" s="2">
        <v>231</v>
      </c>
      <c r="M708">
        <f t="shared" ca="1" si="11"/>
        <v>0.80793771199577225</v>
      </c>
    </row>
    <row r="709" spans="1:13" x14ac:dyDescent="0.4">
      <c r="A709" t="s">
        <v>1406</v>
      </c>
      <c r="B709" t="s">
        <v>1407</v>
      </c>
      <c r="C709" t="s">
        <v>61</v>
      </c>
      <c r="D709" s="2">
        <v>23</v>
      </c>
      <c r="E709" s="2">
        <v>77</v>
      </c>
      <c r="F709" s="3">
        <v>0.41199999999999998</v>
      </c>
      <c r="G709" s="3">
        <v>3.6900000000000002E-2</v>
      </c>
      <c r="H709" s="4">
        <v>5.9599999999999999E-5</v>
      </c>
      <c r="I709" s="4">
        <v>3.1E-4</v>
      </c>
      <c r="J709" s="3" t="s">
        <v>48</v>
      </c>
      <c r="K709" s="2">
        <v>158</v>
      </c>
      <c r="L709" s="2">
        <v>251</v>
      </c>
      <c r="M709">
        <f t="shared" ca="1" si="11"/>
        <v>0.77972476827479187</v>
      </c>
    </row>
    <row r="710" spans="1:13" x14ac:dyDescent="0.4">
      <c r="A710" t="s">
        <v>1408</v>
      </c>
      <c r="B710" t="s">
        <v>1409</v>
      </c>
      <c r="C710" t="s">
        <v>47</v>
      </c>
      <c r="D710" s="2">
        <v>6</v>
      </c>
      <c r="E710" s="2">
        <v>6</v>
      </c>
      <c r="F710" s="3">
        <v>0.628</v>
      </c>
      <c r="G710" s="3">
        <v>6.83E-2</v>
      </c>
      <c r="H710" s="3">
        <v>0.31900000000000001</v>
      </c>
      <c r="I710" s="4">
        <v>6.2799999999999998E-4</v>
      </c>
      <c r="J710" s="3" t="s">
        <v>48</v>
      </c>
      <c r="K710" s="2">
        <v>126</v>
      </c>
      <c r="L710" s="2">
        <v>205</v>
      </c>
      <c r="M710">
        <f t="shared" ca="1" si="11"/>
        <v>2.1065850707706613E-3</v>
      </c>
    </row>
    <row r="711" spans="1:13" x14ac:dyDescent="0.4">
      <c r="A711" t="s">
        <v>1410</v>
      </c>
      <c r="B711" t="s">
        <v>1411</v>
      </c>
      <c r="C711" t="s">
        <v>66</v>
      </c>
      <c r="D711" s="2">
        <v>5</v>
      </c>
      <c r="E711" s="2">
        <v>32</v>
      </c>
      <c r="F711" s="3">
        <v>0.56999999999999995</v>
      </c>
      <c r="G711" s="3">
        <v>5.7000000000000002E-2</v>
      </c>
      <c r="H711" s="3">
        <v>0.76300000000000001</v>
      </c>
      <c r="I711" s="3">
        <v>0</v>
      </c>
      <c r="J711" s="3" t="s">
        <v>48</v>
      </c>
      <c r="K711" s="2">
        <v>77</v>
      </c>
      <c r="L711" s="2">
        <v>134</v>
      </c>
      <c r="M711">
        <f t="shared" ca="1" si="11"/>
        <v>0.55679406574333412</v>
      </c>
    </row>
    <row r="712" spans="1:13" x14ac:dyDescent="0.4">
      <c r="A712" t="s">
        <v>1412</v>
      </c>
      <c r="B712" t="s">
        <v>132</v>
      </c>
      <c r="C712" t="s">
        <v>47</v>
      </c>
      <c r="D712" s="2">
        <v>4</v>
      </c>
      <c r="E712" s="2">
        <v>63</v>
      </c>
      <c r="F712" s="3">
        <v>0.63700000000000001</v>
      </c>
      <c r="G712" s="3">
        <v>0.33600000000000002</v>
      </c>
      <c r="H712" s="3">
        <v>0.71299999999999997</v>
      </c>
      <c r="I712" s="4">
        <v>1.13E-4</v>
      </c>
      <c r="J712" s="3" t="s">
        <v>48</v>
      </c>
      <c r="K712" s="2">
        <v>81</v>
      </c>
      <c r="L712" s="2">
        <v>208</v>
      </c>
      <c r="M712">
        <f t="shared" ca="1" si="11"/>
        <v>0.26629423311227796</v>
      </c>
    </row>
    <row r="713" spans="1:13" x14ac:dyDescent="0.4">
      <c r="A713" t="s">
        <v>1413</v>
      </c>
      <c r="B713" t="s">
        <v>1414</v>
      </c>
      <c r="C713" t="s">
        <v>56</v>
      </c>
      <c r="D713" s="2">
        <v>1</v>
      </c>
      <c r="E713" s="2">
        <v>22</v>
      </c>
      <c r="F713" s="3">
        <v>0.85199999999999998</v>
      </c>
      <c r="G713" s="3">
        <v>0.247</v>
      </c>
      <c r="H713" s="3">
        <v>3.7999999999999999E-2</v>
      </c>
      <c r="I713" s="3">
        <v>0.14899999999999999</v>
      </c>
      <c r="J713" s="3" t="s">
        <v>48</v>
      </c>
      <c r="K713" s="2">
        <v>124</v>
      </c>
      <c r="L713" s="2">
        <v>269</v>
      </c>
      <c r="M713">
        <f t="shared" ca="1" si="11"/>
        <v>0.33958581127677079</v>
      </c>
    </row>
    <row r="714" spans="1:13" x14ac:dyDescent="0.4">
      <c r="A714" t="s">
        <v>1415</v>
      </c>
      <c r="B714" t="s">
        <v>1416</v>
      </c>
      <c r="C714" t="s">
        <v>53</v>
      </c>
      <c r="D714" s="2">
        <v>5</v>
      </c>
      <c r="E714" s="2">
        <v>36</v>
      </c>
      <c r="F714" s="3">
        <v>0.79800000000000004</v>
      </c>
      <c r="G714" s="3">
        <v>0.11600000000000001</v>
      </c>
      <c r="H714" s="3">
        <v>0.66300000000000003</v>
      </c>
      <c r="I714" s="4">
        <v>2.7099999999999999E-6</v>
      </c>
      <c r="J714" s="3" t="s">
        <v>48</v>
      </c>
      <c r="K714" s="2">
        <v>86</v>
      </c>
      <c r="L714" s="2">
        <v>272</v>
      </c>
      <c r="M714">
        <f t="shared" ca="1" si="11"/>
        <v>0.4976894799750009</v>
      </c>
    </row>
    <row r="715" spans="1:13" x14ac:dyDescent="0.4">
      <c r="A715" t="s">
        <v>1417</v>
      </c>
      <c r="B715" t="s">
        <v>778</v>
      </c>
      <c r="C715" t="s">
        <v>84</v>
      </c>
      <c r="D715" s="2">
        <v>9</v>
      </c>
      <c r="E715" s="2">
        <v>38</v>
      </c>
      <c r="F715" s="3">
        <v>0.52300000000000002</v>
      </c>
      <c r="G715" s="3">
        <v>0.192</v>
      </c>
      <c r="H715" s="3">
        <v>5.2400000000000002E-2</v>
      </c>
      <c r="I715" s="3">
        <v>0</v>
      </c>
      <c r="J715" s="3" t="s">
        <v>48</v>
      </c>
      <c r="K715" s="2">
        <v>125</v>
      </c>
      <c r="L715" s="2">
        <v>228</v>
      </c>
      <c r="M715">
        <f t="shared" ca="1" si="11"/>
        <v>0.69647699828585552</v>
      </c>
    </row>
    <row r="716" spans="1:13" x14ac:dyDescent="0.4">
      <c r="A716" t="s">
        <v>1418</v>
      </c>
      <c r="B716" t="s">
        <v>321</v>
      </c>
      <c r="C716" t="s">
        <v>47</v>
      </c>
      <c r="D716" s="2">
        <v>3</v>
      </c>
      <c r="E716" s="2">
        <v>82</v>
      </c>
      <c r="F716" s="3">
        <v>0.77600000000000002</v>
      </c>
      <c r="G716" s="3">
        <v>0.23699999999999999</v>
      </c>
      <c r="H716" s="3">
        <v>0.874</v>
      </c>
      <c r="I716" s="3">
        <v>0</v>
      </c>
      <c r="J716" s="3" t="s">
        <v>48</v>
      </c>
      <c r="K716" s="2">
        <v>110</v>
      </c>
      <c r="L716" s="2">
        <v>210</v>
      </c>
      <c r="M716">
        <f t="shared" ca="1" si="11"/>
        <v>0.14196697842074801</v>
      </c>
    </row>
    <row r="717" spans="1:13" x14ac:dyDescent="0.4">
      <c r="A717" t="s">
        <v>1419</v>
      </c>
      <c r="B717" t="s">
        <v>73</v>
      </c>
      <c r="C717" t="s">
        <v>61</v>
      </c>
      <c r="D717" s="2">
        <v>12</v>
      </c>
      <c r="E717" s="2">
        <v>54</v>
      </c>
      <c r="F717" s="3">
        <v>0.56299999999999994</v>
      </c>
      <c r="G717" s="3">
        <v>4.2000000000000003E-2</v>
      </c>
      <c r="H717" s="3">
        <v>0.1</v>
      </c>
      <c r="I717" s="3">
        <v>2.1900000000000001E-3</v>
      </c>
      <c r="J717" s="3" t="s">
        <v>48</v>
      </c>
      <c r="K717" s="2">
        <v>98</v>
      </c>
      <c r="L717" s="2">
        <v>297</v>
      </c>
      <c r="M717">
        <f t="shared" ca="1" si="11"/>
        <v>0.59357004467710506</v>
      </c>
    </row>
    <row r="718" spans="1:13" x14ac:dyDescent="0.4">
      <c r="A718" t="s">
        <v>1420</v>
      </c>
      <c r="B718" t="s">
        <v>1421</v>
      </c>
      <c r="C718" t="s">
        <v>84</v>
      </c>
      <c r="D718" s="2">
        <v>2</v>
      </c>
      <c r="E718" s="2">
        <v>56</v>
      </c>
      <c r="F718" s="3">
        <v>0.70199999999999996</v>
      </c>
      <c r="G718" s="3">
        <v>0.27800000000000002</v>
      </c>
      <c r="H718" s="3">
        <v>0.14199999999999999</v>
      </c>
      <c r="I718" s="4">
        <v>4.6799999999999999E-4</v>
      </c>
      <c r="J718" s="3" t="s">
        <v>48</v>
      </c>
      <c r="K718" s="2">
        <v>180</v>
      </c>
      <c r="L718" s="2">
        <v>136</v>
      </c>
      <c r="M718">
        <f t="shared" ca="1" si="11"/>
        <v>0.23755376559848562</v>
      </c>
    </row>
    <row r="719" spans="1:13" x14ac:dyDescent="0.4">
      <c r="A719" t="s">
        <v>1422</v>
      </c>
      <c r="B719" t="s">
        <v>1423</v>
      </c>
      <c r="C719" t="s">
        <v>47</v>
      </c>
      <c r="D719" s="2">
        <v>5</v>
      </c>
      <c r="E719" s="2">
        <v>60</v>
      </c>
      <c r="F719" s="3">
        <v>0.42599999999999999</v>
      </c>
      <c r="G719" s="3">
        <v>4.1099999999999998E-2</v>
      </c>
      <c r="H719" s="3">
        <v>6.7599999999999993E-2</v>
      </c>
      <c r="I719" s="3">
        <v>3.5499999999999997E-2</v>
      </c>
      <c r="J719" s="3" t="s">
        <v>48</v>
      </c>
      <c r="K719" s="2">
        <v>110</v>
      </c>
      <c r="L719" s="2">
        <v>240</v>
      </c>
      <c r="M719">
        <f t="shared" ca="1" si="11"/>
        <v>0.524099109381162</v>
      </c>
    </row>
    <row r="720" spans="1:13" x14ac:dyDescent="0.4">
      <c r="A720" t="s">
        <v>1424</v>
      </c>
      <c r="B720" t="s">
        <v>408</v>
      </c>
      <c r="C720" t="s">
        <v>47</v>
      </c>
      <c r="D720" s="2">
        <v>2</v>
      </c>
      <c r="E720" s="2">
        <v>77</v>
      </c>
      <c r="F720" s="3">
        <v>0.41399999999999998</v>
      </c>
      <c r="G720" s="3">
        <v>3.1099999999999999E-2</v>
      </c>
      <c r="H720" s="3">
        <v>1.29E-2</v>
      </c>
      <c r="I720" s="3">
        <v>0</v>
      </c>
      <c r="J720" s="3" t="s">
        <v>67</v>
      </c>
      <c r="K720" s="2">
        <v>128</v>
      </c>
      <c r="L720" s="2">
        <v>231</v>
      </c>
      <c r="M720">
        <f t="shared" ca="1" si="11"/>
        <v>8.8674985915388915E-2</v>
      </c>
    </row>
    <row r="721" spans="1:13" x14ac:dyDescent="0.4">
      <c r="A721" t="s">
        <v>1425</v>
      </c>
      <c r="B721" t="s">
        <v>794</v>
      </c>
      <c r="C721" t="s">
        <v>53</v>
      </c>
      <c r="D721" s="2">
        <v>35</v>
      </c>
      <c r="E721" s="2">
        <v>34</v>
      </c>
      <c r="F721" s="3">
        <v>0.40300000000000002</v>
      </c>
      <c r="G721" s="3">
        <v>2.7199999999999998E-2</v>
      </c>
      <c r="H721" s="3">
        <v>0.23699999999999999</v>
      </c>
      <c r="I721" s="3">
        <v>0</v>
      </c>
      <c r="J721" s="3" t="s">
        <v>67</v>
      </c>
      <c r="K721" s="2">
        <v>79</v>
      </c>
      <c r="L721" s="2">
        <v>274</v>
      </c>
      <c r="M721">
        <f t="shared" ca="1" si="11"/>
        <v>0.93244633919700659</v>
      </c>
    </row>
    <row r="722" spans="1:13" x14ac:dyDescent="0.4">
      <c r="A722" t="s">
        <v>1426</v>
      </c>
      <c r="B722" t="s">
        <v>1427</v>
      </c>
      <c r="C722" t="s">
        <v>47</v>
      </c>
      <c r="D722" s="2">
        <v>2</v>
      </c>
      <c r="E722" s="2">
        <v>35</v>
      </c>
      <c r="F722" s="3">
        <v>0.437</v>
      </c>
      <c r="G722" s="3">
        <v>5.8700000000000002E-2</v>
      </c>
      <c r="H722" s="3">
        <v>1.1299999999999999E-2</v>
      </c>
      <c r="I722" s="3">
        <v>0.79100000000000004</v>
      </c>
      <c r="J722" s="3" t="s">
        <v>48</v>
      </c>
      <c r="K722" s="2">
        <v>152</v>
      </c>
      <c r="L722" s="2">
        <v>323</v>
      </c>
      <c r="M722">
        <f t="shared" ca="1" si="11"/>
        <v>0.69651271854397967</v>
      </c>
    </row>
    <row r="723" spans="1:13" x14ac:dyDescent="0.4">
      <c r="A723" t="s">
        <v>1428</v>
      </c>
      <c r="B723" t="s">
        <v>1429</v>
      </c>
      <c r="C723" t="s">
        <v>61</v>
      </c>
      <c r="D723" s="2">
        <v>36</v>
      </c>
      <c r="E723" s="2">
        <v>54</v>
      </c>
      <c r="F723" s="3">
        <v>0.66500000000000004</v>
      </c>
      <c r="G723" s="3">
        <v>4.9000000000000002E-2</v>
      </c>
      <c r="H723" s="3">
        <v>0.505</v>
      </c>
      <c r="I723" s="3">
        <v>1.04E-2</v>
      </c>
      <c r="J723" s="3" t="s">
        <v>48</v>
      </c>
      <c r="K723" s="2">
        <v>127</v>
      </c>
      <c r="L723" s="2">
        <v>320</v>
      </c>
      <c r="M723">
        <f t="shared" ca="1" si="11"/>
        <v>0.19326598205279644</v>
      </c>
    </row>
    <row r="724" spans="1:13" x14ac:dyDescent="0.4">
      <c r="A724" t="s">
        <v>1430</v>
      </c>
      <c r="B724" t="s">
        <v>1431</v>
      </c>
      <c r="C724" t="s">
        <v>53</v>
      </c>
      <c r="D724" s="2">
        <v>1</v>
      </c>
      <c r="E724" s="2">
        <v>24</v>
      </c>
      <c r="F724" s="3">
        <v>0.871</v>
      </c>
      <c r="G724" s="3">
        <v>8.2500000000000004E-2</v>
      </c>
      <c r="H724" s="3">
        <v>0.44</v>
      </c>
      <c r="I724" s="3">
        <v>0.17199999999999999</v>
      </c>
      <c r="J724" s="3" t="s">
        <v>48</v>
      </c>
      <c r="K724" s="2">
        <v>105</v>
      </c>
      <c r="L724" s="2">
        <v>204</v>
      </c>
      <c r="M724">
        <f t="shared" ca="1" si="11"/>
        <v>7.5115879113769823E-2</v>
      </c>
    </row>
    <row r="725" spans="1:13" x14ac:dyDescent="0.4">
      <c r="A725" t="s">
        <v>1432</v>
      </c>
      <c r="B725" t="s">
        <v>1433</v>
      </c>
      <c r="C725" t="s">
        <v>61</v>
      </c>
      <c r="D725" s="2">
        <v>13</v>
      </c>
      <c r="E725" s="2">
        <v>56</v>
      </c>
      <c r="F725" s="3">
        <v>0.52800000000000002</v>
      </c>
      <c r="G725" s="3">
        <v>3.6499999999999998E-2</v>
      </c>
      <c r="H725" s="4">
        <v>4.6100000000000002E-5</v>
      </c>
      <c r="I725" s="3">
        <v>8.2600000000000007E-2</v>
      </c>
      <c r="J725" s="3" t="s">
        <v>48</v>
      </c>
      <c r="K725" s="2">
        <v>123</v>
      </c>
      <c r="L725" s="2">
        <v>298</v>
      </c>
      <c r="M725">
        <f t="shared" ca="1" si="11"/>
        <v>0.72712503665105122</v>
      </c>
    </row>
    <row r="726" spans="1:13" x14ac:dyDescent="0.4">
      <c r="A726" t="s">
        <v>1434</v>
      </c>
      <c r="B726" t="s">
        <v>1435</v>
      </c>
      <c r="C726" t="s">
        <v>53</v>
      </c>
      <c r="D726" s="2">
        <v>1</v>
      </c>
      <c r="E726" s="2">
        <v>48</v>
      </c>
      <c r="F726" s="3">
        <v>0.66</v>
      </c>
      <c r="G726" s="3">
        <v>3.3399999999999999E-2</v>
      </c>
      <c r="H726" s="3">
        <v>0.17199999999999999</v>
      </c>
      <c r="I726" s="3">
        <v>0.88800000000000001</v>
      </c>
      <c r="J726" s="3" t="s">
        <v>48</v>
      </c>
      <c r="K726" s="2">
        <v>115</v>
      </c>
      <c r="L726" s="2">
        <v>255</v>
      </c>
      <c r="M726">
        <f t="shared" ca="1" si="11"/>
        <v>0.95343744497049543</v>
      </c>
    </row>
    <row r="727" spans="1:13" x14ac:dyDescent="0.4">
      <c r="A727" t="s">
        <v>1436</v>
      </c>
      <c r="B727" t="s">
        <v>1437</v>
      </c>
      <c r="C727" t="s">
        <v>66</v>
      </c>
      <c r="D727" s="2">
        <v>1</v>
      </c>
      <c r="E727" s="2">
        <v>52</v>
      </c>
      <c r="F727" s="3">
        <v>0.46500000000000002</v>
      </c>
      <c r="G727" s="3">
        <v>0.40500000000000003</v>
      </c>
      <c r="H727" s="3">
        <v>8.0199999999999994E-2</v>
      </c>
      <c r="I727" s="3">
        <v>0</v>
      </c>
      <c r="J727" s="3" t="s">
        <v>48</v>
      </c>
      <c r="K727" s="2">
        <v>91</v>
      </c>
      <c r="L727" s="2">
        <v>155</v>
      </c>
      <c r="M727">
        <f t="shared" ca="1" si="11"/>
        <v>0.2674502066541754</v>
      </c>
    </row>
    <row r="728" spans="1:13" x14ac:dyDescent="0.4">
      <c r="A728" t="s">
        <v>1438</v>
      </c>
      <c r="B728" t="s">
        <v>780</v>
      </c>
      <c r="C728" t="s">
        <v>53</v>
      </c>
      <c r="D728" s="2">
        <v>9</v>
      </c>
      <c r="E728" s="2">
        <v>65</v>
      </c>
      <c r="F728" s="3">
        <v>0.61</v>
      </c>
      <c r="G728" s="3">
        <v>6.4699999999999994E-2</v>
      </c>
      <c r="H728" s="3">
        <v>4.1599999999999996E-3</v>
      </c>
      <c r="I728" s="3">
        <v>0</v>
      </c>
      <c r="J728" s="3" t="s">
        <v>48</v>
      </c>
      <c r="K728" s="2">
        <v>128</v>
      </c>
      <c r="L728" s="2">
        <v>232</v>
      </c>
      <c r="M728">
        <f t="shared" ca="1" si="11"/>
        <v>0.762227987059373</v>
      </c>
    </row>
    <row r="729" spans="1:13" x14ac:dyDescent="0.4">
      <c r="A729" t="s">
        <v>1439</v>
      </c>
      <c r="B729" t="s">
        <v>1440</v>
      </c>
      <c r="C729" t="s">
        <v>53</v>
      </c>
      <c r="D729" s="2">
        <v>1</v>
      </c>
      <c r="E729" s="2">
        <v>59</v>
      </c>
      <c r="F729" s="3">
        <v>0.69099999999999995</v>
      </c>
      <c r="G729" s="3">
        <v>7.4700000000000003E-2</v>
      </c>
      <c r="H729" s="3">
        <v>4.1200000000000001E-2</v>
      </c>
      <c r="I729" s="4">
        <v>1.9699999999999999E-4</v>
      </c>
      <c r="J729" s="3" t="s">
        <v>48</v>
      </c>
      <c r="K729" s="2">
        <v>170</v>
      </c>
      <c r="L729" s="2">
        <v>242</v>
      </c>
      <c r="M729">
        <f t="shared" ca="1" si="11"/>
        <v>0.87439229471304813</v>
      </c>
    </row>
    <row r="730" spans="1:13" x14ac:dyDescent="0.4">
      <c r="A730" t="s">
        <v>1441</v>
      </c>
      <c r="B730" t="s">
        <v>1442</v>
      </c>
      <c r="C730" t="s">
        <v>84</v>
      </c>
      <c r="D730" s="2">
        <v>17</v>
      </c>
      <c r="E730" s="2">
        <v>55</v>
      </c>
      <c r="F730" s="3">
        <v>0.85099999999999998</v>
      </c>
      <c r="G730" s="3">
        <v>0.18099999999999999</v>
      </c>
      <c r="H730" s="3">
        <v>4.7200000000000002E-3</v>
      </c>
      <c r="I730" s="3">
        <v>0</v>
      </c>
      <c r="J730" s="3" t="s">
        <v>48</v>
      </c>
      <c r="K730" s="2">
        <v>144</v>
      </c>
      <c r="L730" s="2">
        <v>255</v>
      </c>
      <c r="M730">
        <f t="shared" ca="1" si="11"/>
        <v>0.9820544697321405</v>
      </c>
    </row>
    <row r="731" spans="1:13" x14ac:dyDescent="0.4">
      <c r="A731" t="s">
        <v>1443</v>
      </c>
      <c r="B731" t="s">
        <v>184</v>
      </c>
      <c r="C731" t="s">
        <v>47</v>
      </c>
      <c r="D731" s="2">
        <v>2</v>
      </c>
      <c r="E731" s="2">
        <v>69</v>
      </c>
      <c r="F731" s="3">
        <v>0.755</v>
      </c>
      <c r="G731" s="3">
        <v>0.186</v>
      </c>
      <c r="H731" s="3">
        <v>0.314</v>
      </c>
      <c r="I731" s="4">
        <v>2.3800000000000001E-6</v>
      </c>
      <c r="J731" s="3" t="s">
        <v>48</v>
      </c>
      <c r="K731" s="2">
        <v>115</v>
      </c>
      <c r="L731" s="2">
        <v>186</v>
      </c>
      <c r="M731">
        <f t="shared" ca="1" si="11"/>
        <v>0.32410393644304025</v>
      </c>
    </row>
    <row r="732" spans="1:13" x14ac:dyDescent="0.4">
      <c r="A732" t="s">
        <v>1444</v>
      </c>
      <c r="B732" t="s">
        <v>1445</v>
      </c>
      <c r="C732" t="s">
        <v>53</v>
      </c>
      <c r="D732" s="2">
        <v>11</v>
      </c>
      <c r="E732" s="2">
        <v>28</v>
      </c>
      <c r="F732" s="3">
        <v>0.875</v>
      </c>
      <c r="G732" s="3">
        <v>4.8500000000000001E-2</v>
      </c>
      <c r="H732" s="3">
        <v>3.0699999999999998E-3</v>
      </c>
      <c r="I732" s="3">
        <v>5.7200000000000003E-3</v>
      </c>
      <c r="J732" s="3" t="s">
        <v>48</v>
      </c>
      <c r="K732" s="2">
        <v>116</v>
      </c>
      <c r="L732" s="2">
        <v>517</v>
      </c>
      <c r="M732">
        <f t="shared" ca="1" si="11"/>
        <v>0.68213349283763236</v>
      </c>
    </row>
    <row r="733" spans="1:13" x14ac:dyDescent="0.4">
      <c r="A733" t="s">
        <v>1446</v>
      </c>
      <c r="B733" t="s">
        <v>1447</v>
      </c>
      <c r="C733" t="s">
        <v>84</v>
      </c>
      <c r="D733" s="2">
        <v>5</v>
      </c>
      <c r="E733" s="2">
        <v>42</v>
      </c>
      <c r="F733" s="3">
        <v>0.65400000000000003</v>
      </c>
      <c r="G733" s="3">
        <v>3.7100000000000001E-2</v>
      </c>
      <c r="H733" s="3">
        <v>5.2900000000000003E-2</v>
      </c>
      <c r="I733" s="3">
        <v>1.31E-3</v>
      </c>
      <c r="J733" s="3" t="s">
        <v>67</v>
      </c>
      <c r="K733" s="2">
        <v>96</v>
      </c>
      <c r="L733" s="2">
        <v>236</v>
      </c>
      <c r="M733">
        <f t="shared" ca="1" si="11"/>
        <v>0.90543916334896002</v>
      </c>
    </row>
    <row r="734" spans="1:13" x14ac:dyDescent="0.4">
      <c r="A734" t="s">
        <v>1448</v>
      </c>
      <c r="B734" t="s">
        <v>1449</v>
      </c>
      <c r="C734" t="s">
        <v>66</v>
      </c>
      <c r="D734" s="2">
        <v>20</v>
      </c>
      <c r="E734" s="2">
        <v>12</v>
      </c>
      <c r="F734" s="3">
        <v>0.75800000000000001</v>
      </c>
      <c r="G734" s="3">
        <v>5.5399999999999998E-2</v>
      </c>
      <c r="H734" s="3">
        <v>7.2300000000000003E-3</v>
      </c>
      <c r="I734" s="4">
        <v>3.1100000000000002E-4</v>
      </c>
      <c r="J734" s="3" t="s">
        <v>48</v>
      </c>
      <c r="K734" s="2">
        <v>108</v>
      </c>
      <c r="L734" s="2">
        <v>222</v>
      </c>
      <c r="M734">
        <f t="shared" ca="1" si="11"/>
        <v>0.3140825886677131</v>
      </c>
    </row>
    <row r="735" spans="1:13" x14ac:dyDescent="0.4">
      <c r="A735" t="s">
        <v>1450</v>
      </c>
      <c r="B735" t="s">
        <v>1451</v>
      </c>
      <c r="C735" t="s">
        <v>53</v>
      </c>
      <c r="D735" s="2">
        <v>41</v>
      </c>
      <c r="E735" s="2">
        <v>55</v>
      </c>
      <c r="F735" s="3">
        <v>0.79500000000000004</v>
      </c>
      <c r="G735" s="3">
        <v>4.6100000000000002E-2</v>
      </c>
      <c r="H735" s="3">
        <v>0.56499999999999995</v>
      </c>
      <c r="I735" s="4">
        <v>1.0900000000000001E-5</v>
      </c>
      <c r="J735" s="3" t="s">
        <v>48</v>
      </c>
      <c r="K735" s="2">
        <v>93</v>
      </c>
      <c r="L735" s="2">
        <v>206</v>
      </c>
      <c r="M735">
        <f t="shared" ca="1" si="11"/>
        <v>2.2459835632529845E-2</v>
      </c>
    </row>
    <row r="736" spans="1:13" x14ac:dyDescent="0.4">
      <c r="A736" t="s">
        <v>1452</v>
      </c>
      <c r="B736" t="s">
        <v>1453</v>
      </c>
      <c r="C736" t="s">
        <v>47</v>
      </c>
      <c r="D736" s="2">
        <v>0</v>
      </c>
      <c r="E736" s="2">
        <v>42</v>
      </c>
      <c r="F736" s="3">
        <v>0.79500000000000004</v>
      </c>
      <c r="G736" s="3">
        <v>3.4299999999999997E-2</v>
      </c>
      <c r="H736" s="3">
        <v>0.13</v>
      </c>
      <c r="I736" s="4">
        <v>5.3399999999999997E-5</v>
      </c>
      <c r="J736" s="3" t="s">
        <v>48</v>
      </c>
      <c r="K736" s="2">
        <v>120</v>
      </c>
      <c r="L736" s="2">
        <v>172</v>
      </c>
      <c r="M736">
        <f t="shared" ca="1" si="11"/>
        <v>0.67215947475088589</v>
      </c>
    </row>
    <row r="737" spans="1:13" x14ac:dyDescent="0.4">
      <c r="A737" t="s">
        <v>1454</v>
      </c>
      <c r="B737" t="s">
        <v>1455</v>
      </c>
      <c r="C737" t="s">
        <v>47</v>
      </c>
      <c r="D737" s="2">
        <v>2</v>
      </c>
      <c r="E737" s="2">
        <v>54</v>
      </c>
      <c r="F737" s="3">
        <v>0.63600000000000001</v>
      </c>
      <c r="G737" s="3">
        <v>6.5199999999999994E-2</v>
      </c>
      <c r="H737" s="3">
        <v>3.27E-2</v>
      </c>
      <c r="I737" s="4">
        <v>1.6900000000000001E-5</v>
      </c>
      <c r="J737" s="3" t="s">
        <v>48</v>
      </c>
      <c r="K737" s="2">
        <v>99</v>
      </c>
      <c r="L737" s="2">
        <v>186</v>
      </c>
      <c r="M737">
        <f t="shared" ca="1" si="11"/>
        <v>0.60817991066148624</v>
      </c>
    </row>
    <row r="738" spans="1:13" x14ac:dyDescent="0.4">
      <c r="A738" t="s">
        <v>1456</v>
      </c>
      <c r="B738" t="s">
        <v>1457</v>
      </c>
      <c r="C738" t="s">
        <v>84</v>
      </c>
      <c r="D738" s="2">
        <v>20</v>
      </c>
      <c r="E738" s="2">
        <v>23</v>
      </c>
      <c r="F738" s="3">
        <v>0.85699999999999998</v>
      </c>
      <c r="G738" s="3">
        <v>7.8200000000000006E-2</v>
      </c>
      <c r="H738" s="3">
        <v>1.6899999999999998E-2</v>
      </c>
      <c r="I738" s="4">
        <v>4.6499999999999999E-5</v>
      </c>
      <c r="J738" s="3" t="s">
        <v>48</v>
      </c>
      <c r="K738" s="2">
        <v>111</v>
      </c>
      <c r="L738" s="2">
        <v>328</v>
      </c>
      <c r="M738">
        <f t="shared" ca="1" si="11"/>
        <v>0.49663765109141056</v>
      </c>
    </row>
    <row r="739" spans="1:13" x14ac:dyDescent="0.4">
      <c r="A739" t="s">
        <v>1458</v>
      </c>
      <c r="B739" t="s">
        <v>1459</v>
      </c>
      <c r="C739" t="s">
        <v>84</v>
      </c>
      <c r="D739" s="2">
        <v>2</v>
      </c>
      <c r="E739" s="2">
        <v>48</v>
      </c>
      <c r="F739" s="3">
        <v>0.77600000000000002</v>
      </c>
      <c r="G739" s="3">
        <v>0.374</v>
      </c>
      <c r="H739" s="3">
        <v>0.112</v>
      </c>
      <c r="I739" s="4">
        <v>1.8799999999999999E-4</v>
      </c>
      <c r="J739" s="3" t="s">
        <v>48</v>
      </c>
      <c r="K739" s="2">
        <v>137</v>
      </c>
      <c r="L739" s="2">
        <v>142</v>
      </c>
      <c r="M739">
        <f t="shared" ca="1" si="11"/>
        <v>0.88451712808010152</v>
      </c>
    </row>
    <row r="740" spans="1:13" x14ac:dyDescent="0.4">
      <c r="A740" t="s">
        <v>1460</v>
      </c>
      <c r="B740" t="s">
        <v>442</v>
      </c>
      <c r="C740" t="s">
        <v>61</v>
      </c>
      <c r="D740" s="2">
        <v>47</v>
      </c>
      <c r="E740" s="2">
        <v>37</v>
      </c>
      <c r="F740" s="3">
        <v>0.35</v>
      </c>
      <c r="G740" s="3">
        <v>0.2</v>
      </c>
      <c r="H740" s="3">
        <v>4.24E-2</v>
      </c>
      <c r="I740" s="4">
        <v>6.2200000000000005E-4</v>
      </c>
      <c r="J740" s="3" t="s">
        <v>48</v>
      </c>
      <c r="K740" s="2">
        <v>135</v>
      </c>
      <c r="L740" s="2">
        <v>343</v>
      </c>
      <c r="M740">
        <f t="shared" ca="1" si="11"/>
        <v>0.24913009210722381</v>
      </c>
    </row>
    <row r="741" spans="1:13" x14ac:dyDescent="0.4">
      <c r="A741" t="s">
        <v>1461</v>
      </c>
      <c r="B741" t="s">
        <v>1462</v>
      </c>
      <c r="C741" t="s">
        <v>61</v>
      </c>
      <c r="D741" s="2">
        <v>3</v>
      </c>
      <c r="E741" s="2">
        <v>44</v>
      </c>
      <c r="F741" s="3">
        <v>0.52300000000000002</v>
      </c>
      <c r="G741" s="3">
        <v>4.19E-2</v>
      </c>
      <c r="H741" s="4">
        <v>9.4099999999999997E-5</v>
      </c>
      <c r="I741" s="3">
        <v>0</v>
      </c>
      <c r="J741" s="3" t="s">
        <v>48</v>
      </c>
      <c r="K741" s="2">
        <v>134</v>
      </c>
      <c r="L741" s="2">
        <v>296</v>
      </c>
      <c r="M741">
        <f t="shared" ca="1" si="11"/>
        <v>0.51029187942879128</v>
      </c>
    </row>
    <row r="742" spans="1:13" x14ac:dyDescent="0.4">
      <c r="A742" t="s">
        <v>1463</v>
      </c>
      <c r="B742" t="s">
        <v>958</v>
      </c>
      <c r="C742" t="s">
        <v>56</v>
      </c>
      <c r="D742" s="2">
        <v>4</v>
      </c>
      <c r="E742" s="2">
        <v>2</v>
      </c>
      <c r="F742" s="3">
        <v>0.61699999999999999</v>
      </c>
      <c r="G742" s="3">
        <v>0.155</v>
      </c>
      <c r="H742" s="3">
        <v>1.8800000000000001E-2</v>
      </c>
      <c r="I742" s="3">
        <v>1.3600000000000001E-3</v>
      </c>
      <c r="J742" s="3" t="s">
        <v>48</v>
      </c>
      <c r="K742" s="2">
        <v>126</v>
      </c>
      <c r="L742" s="2">
        <v>197</v>
      </c>
      <c r="M742">
        <f t="shared" ca="1" si="11"/>
        <v>0.43659054412483744</v>
      </c>
    </row>
    <row r="743" spans="1:13" x14ac:dyDescent="0.4">
      <c r="A743" t="s">
        <v>1464</v>
      </c>
      <c r="B743" t="s">
        <v>801</v>
      </c>
      <c r="C743" t="s">
        <v>53</v>
      </c>
      <c r="D743" s="2">
        <v>4</v>
      </c>
      <c r="E743" s="2">
        <v>56</v>
      </c>
      <c r="F743" s="3">
        <v>0.53400000000000003</v>
      </c>
      <c r="G743" s="3">
        <v>7.4899999999999994E-2</v>
      </c>
      <c r="H743" s="3">
        <v>7.7600000000000002E-2</v>
      </c>
      <c r="I743" s="4">
        <v>1.4699999999999999E-6</v>
      </c>
      <c r="J743" s="3" t="s">
        <v>48</v>
      </c>
      <c r="K743" s="2">
        <v>180</v>
      </c>
      <c r="L743" s="2">
        <v>212</v>
      </c>
      <c r="M743">
        <f t="shared" ca="1" si="11"/>
        <v>0.91014309565126517</v>
      </c>
    </row>
    <row r="744" spans="1:13" x14ac:dyDescent="0.4">
      <c r="A744" t="s">
        <v>1465</v>
      </c>
      <c r="B744" t="s">
        <v>1466</v>
      </c>
      <c r="C744" t="s">
        <v>61</v>
      </c>
      <c r="D744" s="2">
        <v>14</v>
      </c>
      <c r="E744" s="2">
        <v>67</v>
      </c>
      <c r="F744" s="3">
        <v>0.48799999999999999</v>
      </c>
      <c r="G744" s="3">
        <v>0.114</v>
      </c>
      <c r="H744" s="3">
        <v>9.0399999999999994E-3</v>
      </c>
      <c r="I744" s="4">
        <v>5.91E-5</v>
      </c>
      <c r="J744" s="3" t="s">
        <v>48</v>
      </c>
      <c r="K744" s="2">
        <v>172</v>
      </c>
      <c r="L744" s="2">
        <v>208</v>
      </c>
      <c r="M744">
        <f t="shared" ca="1" si="11"/>
        <v>0.94161874642629473</v>
      </c>
    </row>
    <row r="745" spans="1:13" x14ac:dyDescent="0.4">
      <c r="A745" t="s">
        <v>1467</v>
      </c>
      <c r="B745" t="s">
        <v>1468</v>
      </c>
      <c r="C745" t="s">
        <v>53</v>
      </c>
      <c r="D745" s="2">
        <v>2</v>
      </c>
      <c r="E745" s="2">
        <v>59</v>
      </c>
      <c r="F745" s="3">
        <v>0.68899999999999995</v>
      </c>
      <c r="G745" s="3">
        <v>0.111</v>
      </c>
      <c r="H745" s="3">
        <v>0.11899999999999999</v>
      </c>
      <c r="I745" s="3">
        <v>4.0800000000000003E-3</v>
      </c>
      <c r="J745" s="3" t="s">
        <v>48</v>
      </c>
      <c r="K745" s="2">
        <v>174</v>
      </c>
      <c r="L745" s="2">
        <v>197</v>
      </c>
      <c r="M745">
        <f t="shared" ca="1" si="11"/>
        <v>0.12268195264403015</v>
      </c>
    </row>
    <row r="746" spans="1:13" x14ac:dyDescent="0.4">
      <c r="A746" t="s">
        <v>1469</v>
      </c>
      <c r="B746" t="s">
        <v>1470</v>
      </c>
      <c r="C746" t="s">
        <v>47</v>
      </c>
      <c r="D746" s="2">
        <v>2</v>
      </c>
      <c r="E746" s="2">
        <v>4</v>
      </c>
      <c r="F746" s="3">
        <v>0.67300000000000004</v>
      </c>
      <c r="G746" s="3">
        <v>4.8099999999999997E-2</v>
      </c>
      <c r="H746" s="3">
        <v>4.48E-2</v>
      </c>
      <c r="I746" s="4">
        <v>3.8299999999999998E-6</v>
      </c>
      <c r="J746" s="3" t="s">
        <v>48</v>
      </c>
      <c r="K746" s="2">
        <v>128</v>
      </c>
      <c r="L746" s="2">
        <v>172</v>
      </c>
      <c r="M746">
        <f t="shared" ca="1" si="11"/>
        <v>0.40553403051671599</v>
      </c>
    </row>
    <row r="747" spans="1:13" x14ac:dyDescent="0.4">
      <c r="A747" t="s">
        <v>1471</v>
      </c>
      <c r="B747" t="s">
        <v>1472</v>
      </c>
      <c r="C747" t="s">
        <v>61</v>
      </c>
      <c r="D747" s="2">
        <v>34</v>
      </c>
      <c r="E747" s="2">
        <v>75</v>
      </c>
      <c r="F747" s="3">
        <v>0.77600000000000002</v>
      </c>
      <c r="G747" s="3">
        <v>5.3499999999999999E-2</v>
      </c>
      <c r="H747" s="3">
        <v>0.182</v>
      </c>
      <c r="I747" s="3">
        <v>6.4999999999999997E-3</v>
      </c>
      <c r="J747" s="3" t="s">
        <v>48</v>
      </c>
      <c r="K747" s="2">
        <v>128</v>
      </c>
      <c r="L747" s="2">
        <v>280</v>
      </c>
      <c r="M747">
        <f t="shared" ca="1" si="11"/>
        <v>0.18921936019032248</v>
      </c>
    </row>
    <row r="748" spans="1:13" x14ac:dyDescent="0.4">
      <c r="A748" t="s">
        <v>1473</v>
      </c>
      <c r="B748" t="s">
        <v>1474</v>
      </c>
      <c r="C748" t="s">
        <v>47</v>
      </c>
      <c r="D748" s="2">
        <v>3</v>
      </c>
      <c r="E748" s="2">
        <v>12</v>
      </c>
      <c r="F748" s="3">
        <v>0.90600000000000003</v>
      </c>
      <c r="G748" s="3">
        <v>9.0300000000000005E-2</v>
      </c>
      <c r="H748" s="4">
        <v>2.43E-4</v>
      </c>
      <c r="I748" s="4">
        <v>3.2299999999999999E-5</v>
      </c>
      <c r="J748" s="3" t="s">
        <v>48</v>
      </c>
      <c r="K748" s="2">
        <v>150</v>
      </c>
      <c r="L748" s="2">
        <v>177</v>
      </c>
      <c r="M748">
        <f t="shared" ca="1" si="11"/>
        <v>0.44355326945954132</v>
      </c>
    </row>
    <row r="749" spans="1:13" x14ac:dyDescent="0.4">
      <c r="A749" t="s">
        <v>1475</v>
      </c>
      <c r="B749" t="s">
        <v>75</v>
      </c>
      <c r="C749" t="s">
        <v>61</v>
      </c>
      <c r="D749" s="2">
        <v>29</v>
      </c>
      <c r="E749" s="2">
        <v>73</v>
      </c>
      <c r="F749" s="3">
        <v>0.57899999999999996</v>
      </c>
      <c r="G749" s="3">
        <v>0.03</v>
      </c>
      <c r="H749" s="3">
        <v>2.0600000000000002E-3</v>
      </c>
      <c r="I749" s="3">
        <v>9.0299999999999998E-3</v>
      </c>
      <c r="J749" s="3" t="s">
        <v>48</v>
      </c>
      <c r="K749" s="2">
        <v>123</v>
      </c>
      <c r="L749" s="2">
        <v>332</v>
      </c>
      <c r="M749">
        <f t="shared" ca="1" si="11"/>
        <v>0.47530855356480217</v>
      </c>
    </row>
    <row r="750" spans="1:13" x14ac:dyDescent="0.4">
      <c r="A750" t="s">
        <v>1476</v>
      </c>
      <c r="B750" t="s">
        <v>1477</v>
      </c>
      <c r="C750" t="s">
        <v>53</v>
      </c>
      <c r="D750" s="2">
        <v>22</v>
      </c>
      <c r="E750" s="2">
        <v>33</v>
      </c>
      <c r="F750" s="3">
        <v>0.91100000000000003</v>
      </c>
      <c r="G750" s="3">
        <v>0.17299999999999999</v>
      </c>
      <c r="H750" s="3">
        <v>0.69</v>
      </c>
      <c r="I750" s="3">
        <v>0</v>
      </c>
      <c r="J750" s="3" t="s">
        <v>48</v>
      </c>
      <c r="K750" s="2">
        <v>94</v>
      </c>
      <c r="L750" s="2">
        <v>292</v>
      </c>
      <c r="M750">
        <f t="shared" ca="1" si="11"/>
        <v>0.66722638418958913</v>
      </c>
    </row>
    <row r="751" spans="1:13" x14ac:dyDescent="0.4">
      <c r="A751" t="s">
        <v>1478</v>
      </c>
      <c r="B751" t="s">
        <v>1479</v>
      </c>
      <c r="C751" t="s">
        <v>56</v>
      </c>
      <c r="D751" s="2">
        <v>14</v>
      </c>
      <c r="E751" s="2">
        <v>33</v>
      </c>
      <c r="F751" s="3">
        <v>0.84399999999999997</v>
      </c>
      <c r="G751" s="3">
        <v>0.14099999999999999</v>
      </c>
      <c r="H751" s="4">
        <v>8.1499999999999997E-4</v>
      </c>
      <c r="I751" s="3">
        <v>0.40799999999999997</v>
      </c>
      <c r="J751" s="3" t="s">
        <v>48</v>
      </c>
      <c r="K751" s="2">
        <v>127</v>
      </c>
      <c r="L751" s="2">
        <v>484</v>
      </c>
      <c r="M751">
        <f t="shared" ca="1" si="11"/>
        <v>0.48742746983653518</v>
      </c>
    </row>
    <row r="752" spans="1:13" x14ac:dyDescent="0.4">
      <c r="A752" t="s">
        <v>1480</v>
      </c>
      <c r="B752" t="s">
        <v>1481</v>
      </c>
      <c r="C752" t="s">
        <v>53</v>
      </c>
      <c r="D752" s="2">
        <v>22</v>
      </c>
      <c r="E752" s="2">
        <v>43</v>
      </c>
      <c r="F752" s="3">
        <v>0.65100000000000002</v>
      </c>
      <c r="G752" s="3">
        <v>8.14E-2</v>
      </c>
      <c r="H752" s="3">
        <v>0.623</v>
      </c>
      <c r="I752" s="4">
        <v>1.42E-5</v>
      </c>
      <c r="J752" s="3" t="s">
        <v>48</v>
      </c>
      <c r="K752" s="2">
        <v>104</v>
      </c>
      <c r="L752" s="2">
        <v>219</v>
      </c>
      <c r="M752">
        <f t="shared" ca="1" si="11"/>
        <v>0.35849666047204498</v>
      </c>
    </row>
    <row r="753" spans="1:13" x14ac:dyDescent="0.4">
      <c r="A753" t="s">
        <v>1482</v>
      </c>
      <c r="B753" t="s">
        <v>1483</v>
      </c>
      <c r="C753" t="s">
        <v>56</v>
      </c>
      <c r="D753" s="2">
        <v>1</v>
      </c>
      <c r="E753" s="2">
        <v>57</v>
      </c>
      <c r="F753" s="3">
        <v>0.72199999999999998</v>
      </c>
      <c r="G753" s="3">
        <v>9.6199999999999994E-2</v>
      </c>
      <c r="H753" s="3">
        <v>6.9199999999999998E-2</v>
      </c>
      <c r="I753" s="4">
        <v>9.59E-4</v>
      </c>
      <c r="J753" s="3" t="s">
        <v>48</v>
      </c>
      <c r="K753" s="2">
        <v>123</v>
      </c>
      <c r="L753" s="2">
        <v>195</v>
      </c>
      <c r="M753">
        <f t="shared" ca="1" si="11"/>
        <v>8.406229893087136E-2</v>
      </c>
    </row>
    <row r="754" spans="1:13" x14ac:dyDescent="0.4">
      <c r="A754" t="s">
        <v>1484</v>
      </c>
      <c r="B754" t="s">
        <v>319</v>
      </c>
      <c r="C754" t="s">
        <v>61</v>
      </c>
      <c r="D754" s="2">
        <v>14</v>
      </c>
      <c r="E754" s="2">
        <v>32</v>
      </c>
      <c r="F754" s="3">
        <v>0.45100000000000001</v>
      </c>
      <c r="G754" s="3">
        <v>3.2899999999999999E-2</v>
      </c>
      <c r="H754" s="3">
        <v>1.7799999999999999E-3</v>
      </c>
      <c r="I754" s="3">
        <v>1.56E-3</v>
      </c>
      <c r="J754" s="3" t="s">
        <v>48</v>
      </c>
      <c r="K754" s="2">
        <v>106</v>
      </c>
      <c r="L754" s="2">
        <v>229</v>
      </c>
      <c r="M754">
        <f t="shared" ca="1" si="11"/>
        <v>7.9816587829333541E-2</v>
      </c>
    </row>
    <row r="755" spans="1:13" x14ac:dyDescent="0.4">
      <c r="A755" t="s">
        <v>1485</v>
      </c>
      <c r="B755" t="s">
        <v>1486</v>
      </c>
      <c r="C755" t="s">
        <v>56</v>
      </c>
      <c r="D755" s="2">
        <v>3</v>
      </c>
      <c r="E755" s="2">
        <v>34</v>
      </c>
      <c r="F755" s="3">
        <v>0.628</v>
      </c>
      <c r="G755" s="3">
        <v>7.9899999999999999E-2</v>
      </c>
      <c r="H755" s="3">
        <v>0.54900000000000004</v>
      </c>
      <c r="I755" s="3">
        <v>0</v>
      </c>
      <c r="J755" s="3" t="s">
        <v>48</v>
      </c>
      <c r="K755" s="2">
        <v>136</v>
      </c>
      <c r="L755" s="2">
        <v>199</v>
      </c>
      <c r="M755">
        <f t="shared" ca="1" si="11"/>
        <v>0.97261255131152979</v>
      </c>
    </row>
    <row r="756" spans="1:13" x14ac:dyDescent="0.4">
      <c r="A756" t="s">
        <v>1487</v>
      </c>
      <c r="B756" t="s">
        <v>1488</v>
      </c>
      <c r="C756" t="s">
        <v>56</v>
      </c>
      <c r="D756" s="2">
        <v>1</v>
      </c>
      <c r="E756" s="2">
        <v>51</v>
      </c>
      <c r="F756" s="3">
        <v>0.69</v>
      </c>
      <c r="G756" s="3">
        <v>0.216</v>
      </c>
      <c r="H756" s="3">
        <v>7.6600000000000001E-3</v>
      </c>
      <c r="I756" s="3">
        <v>0.42199999999999999</v>
      </c>
      <c r="J756" s="3" t="s">
        <v>48</v>
      </c>
      <c r="K756" s="2">
        <v>126</v>
      </c>
      <c r="L756" s="2">
        <v>233</v>
      </c>
      <c r="M756">
        <f t="shared" ca="1" si="11"/>
        <v>0.48529574508972229</v>
      </c>
    </row>
    <row r="757" spans="1:13" x14ac:dyDescent="0.4">
      <c r="A757" t="s">
        <v>1489</v>
      </c>
      <c r="B757" t="s">
        <v>1490</v>
      </c>
      <c r="C757" t="s">
        <v>56</v>
      </c>
      <c r="D757" s="2">
        <v>4</v>
      </c>
      <c r="E757" s="2">
        <v>53</v>
      </c>
      <c r="F757" s="3">
        <v>0.82299999999999995</v>
      </c>
      <c r="G757" s="3">
        <v>3.9100000000000003E-2</v>
      </c>
      <c r="H757" s="3">
        <v>1.46E-2</v>
      </c>
      <c r="I757" s="3">
        <v>0.35899999999999999</v>
      </c>
      <c r="J757" s="3" t="s">
        <v>48</v>
      </c>
      <c r="K757" s="2">
        <v>133</v>
      </c>
      <c r="L757" s="2">
        <v>440</v>
      </c>
      <c r="M757">
        <f t="shared" ca="1" si="11"/>
        <v>0.70359003970302159</v>
      </c>
    </row>
    <row r="758" spans="1:13" x14ac:dyDescent="0.4">
      <c r="A758" t="s">
        <v>1491</v>
      </c>
      <c r="B758" t="s">
        <v>880</v>
      </c>
      <c r="C758" t="s">
        <v>53</v>
      </c>
      <c r="D758" s="2">
        <v>7</v>
      </c>
      <c r="E758" s="2">
        <v>67</v>
      </c>
      <c r="F758" s="3">
        <v>0.874</v>
      </c>
      <c r="G758" s="3">
        <v>0.114</v>
      </c>
      <c r="H758" s="3">
        <v>0.121</v>
      </c>
      <c r="I758" s="3">
        <v>0</v>
      </c>
      <c r="J758" s="3" t="s">
        <v>48</v>
      </c>
      <c r="K758" s="2">
        <v>95</v>
      </c>
      <c r="L758" s="2">
        <v>227</v>
      </c>
      <c r="M758">
        <f t="shared" ca="1" si="11"/>
        <v>0.21651990550728972</v>
      </c>
    </row>
    <row r="759" spans="1:13" x14ac:dyDescent="0.4">
      <c r="A759" t="s">
        <v>1492</v>
      </c>
      <c r="B759" t="s">
        <v>414</v>
      </c>
      <c r="C759" t="s">
        <v>61</v>
      </c>
      <c r="D759" s="2">
        <v>50</v>
      </c>
      <c r="E759" s="2">
        <v>68</v>
      </c>
      <c r="F759" s="3">
        <v>0.41499999999999998</v>
      </c>
      <c r="G759" s="3">
        <v>6.9599999999999995E-2</v>
      </c>
      <c r="H759" s="4">
        <v>4.5200000000000001E-5</v>
      </c>
      <c r="I759" s="4">
        <v>7.3499999999999998E-4</v>
      </c>
      <c r="J759" s="3" t="s">
        <v>48</v>
      </c>
      <c r="K759" s="2">
        <v>163</v>
      </c>
      <c r="L759" s="2">
        <v>168</v>
      </c>
      <c r="M759">
        <f t="shared" ca="1" si="11"/>
        <v>0.4751349336155013</v>
      </c>
    </row>
    <row r="760" spans="1:13" x14ac:dyDescent="0.4">
      <c r="A760" t="s">
        <v>1493</v>
      </c>
      <c r="B760" t="s">
        <v>1494</v>
      </c>
      <c r="C760" t="s">
        <v>61</v>
      </c>
      <c r="D760" s="2">
        <v>1</v>
      </c>
      <c r="E760" s="2">
        <v>72</v>
      </c>
      <c r="F760" s="3">
        <v>0.33600000000000002</v>
      </c>
      <c r="G760" s="3">
        <v>8.4599999999999995E-2</v>
      </c>
      <c r="H760" s="4">
        <v>4.37E-4</v>
      </c>
      <c r="I760" s="4">
        <v>5.2499999999999997E-4</v>
      </c>
      <c r="J760" s="3" t="s">
        <v>48</v>
      </c>
      <c r="K760" s="2">
        <v>130</v>
      </c>
      <c r="L760" s="2">
        <v>315</v>
      </c>
      <c r="M760">
        <f t="shared" ca="1" si="11"/>
        <v>0.44834777198287312</v>
      </c>
    </row>
    <row r="761" spans="1:13" x14ac:dyDescent="0.4">
      <c r="A761" t="s">
        <v>1495</v>
      </c>
      <c r="B761" t="s">
        <v>1496</v>
      </c>
      <c r="C761" t="s">
        <v>53</v>
      </c>
      <c r="D761" s="2">
        <v>4</v>
      </c>
      <c r="E761" s="2">
        <v>58</v>
      </c>
      <c r="F761" s="3">
        <v>0.55200000000000005</v>
      </c>
      <c r="G761" s="3">
        <v>0.32</v>
      </c>
      <c r="H761" s="3">
        <v>0.42</v>
      </c>
      <c r="I761" s="3">
        <v>0</v>
      </c>
      <c r="J761" s="3" t="s">
        <v>48</v>
      </c>
      <c r="K761" s="2">
        <v>133</v>
      </c>
      <c r="L761" s="2">
        <v>195</v>
      </c>
      <c r="M761">
        <f t="shared" ca="1" si="11"/>
        <v>0.43988774009974263</v>
      </c>
    </row>
    <row r="762" spans="1:13" x14ac:dyDescent="0.4">
      <c r="A762" t="s">
        <v>1497</v>
      </c>
      <c r="B762" t="s">
        <v>1498</v>
      </c>
      <c r="C762" t="s">
        <v>47</v>
      </c>
      <c r="D762" s="2">
        <v>8</v>
      </c>
      <c r="E762" s="2">
        <v>38</v>
      </c>
      <c r="F762" s="3">
        <v>0.71299999999999997</v>
      </c>
      <c r="G762" s="3">
        <v>0.40500000000000003</v>
      </c>
      <c r="H762" s="3">
        <v>0.215</v>
      </c>
      <c r="I762" s="3">
        <v>0.20300000000000001</v>
      </c>
      <c r="J762" s="3" t="s">
        <v>67</v>
      </c>
      <c r="K762" s="2">
        <v>175</v>
      </c>
      <c r="L762" s="2">
        <v>138</v>
      </c>
      <c r="M762">
        <f t="shared" ca="1" si="11"/>
        <v>0.77900063425995325</v>
      </c>
    </row>
    <row r="763" spans="1:13" x14ac:dyDescent="0.4">
      <c r="A763" t="s">
        <v>1499</v>
      </c>
      <c r="B763" t="s">
        <v>1500</v>
      </c>
      <c r="C763" t="s">
        <v>66</v>
      </c>
      <c r="D763" s="2">
        <v>23</v>
      </c>
      <c r="E763" s="2">
        <v>30</v>
      </c>
      <c r="F763" s="3">
        <v>0.77400000000000002</v>
      </c>
      <c r="G763" s="3">
        <v>0.17699999999999999</v>
      </c>
      <c r="H763" s="3">
        <v>8.5000000000000006E-2</v>
      </c>
      <c r="I763" s="3">
        <v>3.48E-3</v>
      </c>
      <c r="J763" s="3" t="s">
        <v>67</v>
      </c>
      <c r="K763" s="2">
        <v>142</v>
      </c>
      <c r="L763" s="2">
        <v>283</v>
      </c>
      <c r="M763">
        <f t="shared" ca="1" si="11"/>
        <v>0.37324047330626531</v>
      </c>
    </row>
    <row r="764" spans="1:13" x14ac:dyDescent="0.4">
      <c r="A764" t="s">
        <v>1501</v>
      </c>
      <c r="B764" t="s">
        <v>1502</v>
      </c>
      <c r="C764" t="s">
        <v>84</v>
      </c>
      <c r="D764" s="2">
        <v>1</v>
      </c>
      <c r="E764" s="2">
        <v>41</v>
      </c>
      <c r="F764" s="3">
        <v>0.88600000000000001</v>
      </c>
      <c r="G764" s="3">
        <v>6.3700000000000007E-2</v>
      </c>
      <c r="H764" s="3">
        <v>4.7399999999999998E-2</v>
      </c>
      <c r="I764" s="3">
        <v>0</v>
      </c>
      <c r="J764" s="3" t="s">
        <v>48</v>
      </c>
      <c r="K764" s="2">
        <v>120</v>
      </c>
      <c r="L764" s="2">
        <v>160</v>
      </c>
      <c r="M764">
        <f t="shared" ca="1" si="11"/>
        <v>9.563677755504596E-3</v>
      </c>
    </row>
    <row r="765" spans="1:13" x14ac:dyDescent="0.4">
      <c r="A765" t="s">
        <v>1503</v>
      </c>
      <c r="B765" t="s">
        <v>1504</v>
      </c>
      <c r="C765" t="s">
        <v>56</v>
      </c>
      <c r="D765" s="2">
        <v>7</v>
      </c>
      <c r="E765" s="2">
        <v>24</v>
      </c>
      <c r="F765" s="3">
        <v>0.61099999999999999</v>
      </c>
      <c r="G765" s="3">
        <v>0.17599999999999999</v>
      </c>
      <c r="H765" s="3">
        <v>2.2100000000000002E-2</v>
      </c>
      <c r="I765" s="3">
        <v>0.86</v>
      </c>
      <c r="J765" s="3" t="s">
        <v>48</v>
      </c>
      <c r="K765" s="2">
        <v>192</v>
      </c>
      <c r="L765" s="2">
        <v>217</v>
      </c>
      <c r="M765">
        <f t="shared" ca="1" si="11"/>
        <v>0.89390504049588493</v>
      </c>
    </row>
    <row r="766" spans="1:13" x14ac:dyDescent="0.4">
      <c r="A766" t="s">
        <v>1505</v>
      </c>
      <c r="B766" t="s">
        <v>1506</v>
      </c>
      <c r="C766" t="s">
        <v>56</v>
      </c>
      <c r="D766" s="2">
        <v>1</v>
      </c>
      <c r="E766" s="2">
        <v>48</v>
      </c>
      <c r="F766" s="3">
        <v>0.74399999999999999</v>
      </c>
      <c r="G766" s="3">
        <v>4.0399999999999998E-2</v>
      </c>
      <c r="H766" s="3">
        <v>0.22900000000000001</v>
      </c>
      <c r="I766" s="3">
        <v>0</v>
      </c>
      <c r="J766" s="3" t="s">
        <v>48</v>
      </c>
      <c r="K766" s="2">
        <v>106</v>
      </c>
      <c r="L766" s="2">
        <v>210</v>
      </c>
      <c r="M766">
        <f t="shared" ca="1" si="11"/>
        <v>0.86535204947774769</v>
      </c>
    </row>
    <row r="767" spans="1:13" x14ac:dyDescent="0.4">
      <c r="A767" t="s">
        <v>1507</v>
      </c>
      <c r="B767" t="s">
        <v>1064</v>
      </c>
      <c r="C767" t="s">
        <v>61</v>
      </c>
      <c r="D767" s="2">
        <v>21</v>
      </c>
      <c r="E767" s="2">
        <v>59</v>
      </c>
      <c r="F767" s="3">
        <v>0.47399999999999998</v>
      </c>
      <c r="G767" s="3">
        <v>8.4199999999999997E-2</v>
      </c>
      <c r="H767" s="3">
        <v>0.122</v>
      </c>
      <c r="I767" s="3">
        <v>1.5399999999999999E-3</v>
      </c>
      <c r="J767" s="3" t="s">
        <v>48</v>
      </c>
      <c r="K767" s="2">
        <v>93</v>
      </c>
      <c r="L767" s="2">
        <v>234</v>
      </c>
      <c r="M767">
        <f t="shared" ca="1" si="11"/>
        <v>0.63210960046047204</v>
      </c>
    </row>
    <row r="768" spans="1:13" x14ac:dyDescent="0.4">
      <c r="A768" t="s">
        <v>1508</v>
      </c>
      <c r="B768" t="s">
        <v>1509</v>
      </c>
      <c r="C768" t="s">
        <v>53</v>
      </c>
      <c r="D768" s="2">
        <v>1</v>
      </c>
      <c r="E768" s="2">
        <v>38</v>
      </c>
      <c r="F768" s="3">
        <v>0.66700000000000004</v>
      </c>
      <c r="G768" s="3">
        <v>4.1399999999999999E-2</v>
      </c>
      <c r="H768" s="3">
        <v>0.63</v>
      </c>
      <c r="I768" s="4">
        <v>2.0000000000000001E-4</v>
      </c>
      <c r="J768" s="3" t="s">
        <v>48</v>
      </c>
      <c r="K768" s="2">
        <v>174</v>
      </c>
      <c r="L768" s="2">
        <v>267</v>
      </c>
      <c r="M768">
        <f t="shared" ca="1" si="11"/>
        <v>0.79562012368284685</v>
      </c>
    </row>
    <row r="769" spans="1:13" x14ac:dyDescent="0.4">
      <c r="A769" t="s">
        <v>1510</v>
      </c>
      <c r="B769" t="s">
        <v>1511</v>
      </c>
      <c r="C769" t="s">
        <v>53</v>
      </c>
      <c r="D769" s="2">
        <v>1</v>
      </c>
      <c r="E769" s="2">
        <v>39</v>
      </c>
      <c r="F769" s="3">
        <v>0.60899999999999999</v>
      </c>
      <c r="G769" s="3">
        <v>0.10199999999999999</v>
      </c>
      <c r="H769" s="3">
        <v>0.57299999999999995</v>
      </c>
      <c r="I769" s="3">
        <v>0</v>
      </c>
      <c r="J769" s="3" t="s">
        <v>67</v>
      </c>
      <c r="K769" s="2">
        <v>124</v>
      </c>
      <c r="L769" s="2">
        <v>160</v>
      </c>
      <c r="M769">
        <f t="shared" ca="1" si="11"/>
        <v>0.19240706497353444</v>
      </c>
    </row>
    <row r="770" spans="1:13" x14ac:dyDescent="0.4">
      <c r="A770" t="s">
        <v>1512</v>
      </c>
      <c r="B770" t="s">
        <v>485</v>
      </c>
      <c r="C770" t="s">
        <v>53</v>
      </c>
      <c r="D770" s="2">
        <v>14</v>
      </c>
      <c r="E770" s="2">
        <v>1</v>
      </c>
      <c r="F770" s="3">
        <v>0.754</v>
      </c>
      <c r="G770" s="3">
        <v>4.1599999999999998E-2</v>
      </c>
      <c r="H770" s="3">
        <v>4.7100000000000003E-2</v>
      </c>
      <c r="I770" s="4">
        <v>1.5999999999999999E-5</v>
      </c>
      <c r="J770" s="3" t="s">
        <v>48</v>
      </c>
      <c r="K770" s="2">
        <v>88</v>
      </c>
      <c r="L770" s="2">
        <v>187</v>
      </c>
      <c r="M770">
        <f t="shared" ref="M770:M833" ca="1" si="12">RAND()</f>
        <v>0.86908047500270014</v>
      </c>
    </row>
    <row r="771" spans="1:13" x14ac:dyDescent="0.4">
      <c r="A771" t="s">
        <v>1513</v>
      </c>
      <c r="B771" t="s">
        <v>1514</v>
      </c>
      <c r="C771" t="s">
        <v>84</v>
      </c>
      <c r="D771" s="2">
        <v>1</v>
      </c>
      <c r="E771" s="2">
        <v>53</v>
      </c>
      <c r="F771" s="3">
        <v>0.56499999999999995</v>
      </c>
      <c r="G771" s="3">
        <v>4.5400000000000003E-2</v>
      </c>
      <c r="H771" s="3">
        <v>0.745</v>
      </c>
      <c r="I771" s="3">
        <v>0.224</v>
      </c>
      <c r="J771" s="3" t="s">
        <v>67</v>
      </c>
      <c r="K771" s="2">
        <v>140</v>
      </c>
      <c r="L771" s="2">
        <v>167</v>
      </c>
      <c r="M771">
        <f t="shared" ca="1" si="12"/>
        <v>9.8863502346163368E-2</v>
      </c>
    </row>
    <row r="772" spans="1:13" x14ac:dyDescent="0.4">
      <c r="A772" t="s">
        <v>1515</v>
      </c>
      <c r="B772" t="s">
        <v>1516</v>
      </c>
      <c r="C772" t="s">
        <v>56</v>
      </c>
      <c r="D772" s="2">
        <v>1</v>
      </c>
      <c r="E772" s="2">
        <v>30</v>
      </c>
      <c r="F772" s="3">
        <v>0.48799999999999999</v>
      </c>
      <c r="G772" s="3">
        <v>5.4399999999999997E-2</v>
      </c>
      <c r="H772" s="3">
        <v>1.9199999999999998E-2</v>
      </c>
      <c r="I772" s="3">
        <v>0.27600000000000002</v>
      </c>
      <c r="J772" s="3" t="s">
        <v>48</v>
      </c>
      <c r="K772" s="2">
        <v>75</v>
      </c>
      <c r="L772" s="2">
        <v>179</v>
      </c>
      <c r="M772">
        <f t="shared" ca="1" si="12"/>
        <v>0.67186600725200529</v>
      </c>
    </row>
    <row r="773" spans="1:13" x14ac:dyDescent="0.4">
      <c r="A773" t="s">
        <v>1517</v>
      </c>
      <c r="B773" t="s">
        <v>1518</v>
      </c>
      <c r="C773" t="s">
        <v>84</v>
      </c>
      <c r="D773" s="2">
        <v>12</v>
      </c>
      <c r="E773" s="2">
        <v>2</v>
      </c>
      <c r="F773" s="3">
        <v>0.65300000000000002</v>
      </c>
      <c r="G773" s="3">
        <v>3.5299999999999998E-2</v>
      </c>
      <c r="H773" s="3">
        <v>3.4199999999999999E-3</v>
      </c>
      <c r="I773" s="3">
        <v>0</v>
      </c>
      <c r="J773" s="3" t="s">
        <v>48</v>
      </c>
      <c r="K773" s="2">
        <v>138</v>
      </c>
      <c r="L773" s="2">
        <v>321</v>
      </c>
      <c r="M773">
        <f t="shared" ca="1" si="12"/>
        <v>0.92033815327790269</v>
      </c>
    </row>
    <row r="774" spans="1:13" x14ac:dyDescent="0.4">
      <c r="A774" t="s">
        <v>1519</v>
      </c>
      <c r="B774" t="s">
        <v>1520</v>
      </c>
      <c r="C774" t="s">
        <v>56</v>
      </c>
      <c r="D774" s="2">
        <v>5</v>
      </c>
      <c r="E774" s="2">
        <v>38</v>
      </c>
      <c r="F774" s="3">
        <v>0.53300000000000003</v>
      </c>
      <c r="G774" s="3">
        <v>4.4699999999999997E-2</v>
      </c>
      <c r="H774" s="3">
        <v>1.43E-2</v>
      </c>
      <c r="I774" s="3">
        <v>0.72099999999999997</v>
      </c>
      <c r="J774" s="3" t="s">
        <v>48</v>
      </c>
      <c r="K774" s="2">
        <v>128</v>
      </c>
      <c r="L774" s="2">
        <v>234</v>
      </c>
      <c r="M774">
        <f t="shared" ca="1" si="12"/>
        <v>0.84745815885639331</v>
      </c>
    </row>
    <row r="775" spans="1:13" x14ac:dyDescent="0.4">
      <c r="A775" t="s">
        <v>1521</v>
      </c>
      <c r="B775" t="s">
        <v>1522</v>
      </c>
      <c r="C775" t="s">
        <v>84</v>
      </c>
      <c r="D775" s="2">
        <v>33</v>
      </c>
      <c r="E775" s="2">
        <v>34</v>
      </c>
      <c r="F775" s="3">
        <v>0.5</v>
      </c>
      <c r="G775" s="3">
        <v>6.3799999999999996E-2</v>
      </c>
      <c r="H775" s="3">
        <v>0.48199999999999998</v>
      </c>
      <c r="I775" s="3">
        <v>0</v>
      </c>
      <c r="J775" s="3" t="s">
        <v>67</v>
      </c>
      <c r="K775" s="2">
        <v>177</v>
      </c>
      <c r="L775" s="2">
        <v>384</v>
      </c>
      <c r="M775">
        <f t="shared" ca="1" si="12"/>
        <v>0.25821432518586851</v>
      </c>
    </row>
    <row r="776" spans="1:13" x14ac:dyDescent="0.4">
      <c r="A776" t="s">
        <v>1523</v>
      </c>
      <c r="B776" t="s">
        <v>1524</v>
      </c>
      <c r="C776" t="s">
        <v>53</v>
      </c>
      <c r="D776" s="2">
        <v>3</v>
      </c>
      <c r="E776" s="2">
        <v>42</v>
      </c>
      <c r="F776" s="3">
        <v>0.84699999999999998</v>
      </c>
      <c r="G776" s="3">
        <v>0.153</v>
      </c>
      <c r="H776" s="3">
        <v>0.107</v>
      </c>
      <c r="I776" s="3">
        <v>3.9800000000000002E-2</v>
      </c>
      <c r="J776" s="3" t="s">
        <v>48</v>
      </c>
      <c r="K776" s="2">
        <v>150</v>
      </c>
      <c r="L776" s="2">
        <v>217</v>
      </c>
      <c r="M776">
        <f t="shared" ca="1" si="12"/>
        <v>0.97548576272872456</v>
      </c>
    </row>
    <row r="777" spans="1:13" x14ac:dyDescent="0.4">
      <c r="A777" t="s">
        <v>1525</v>
      </c>
      <c r="B777" t="s">
        <v>1526</v>
      </c>
      <c r="C777" t="s">
        <v>84</v>
      </c>
      <c r="D777" s="2">
        <v>0</v>
      </c>
      <c r="E777" s="2">
        <v>52</v>
      </c>
      <c r="F777" s="3">
        <v>0.72199999999999998</v>
      </c>
      <c r="G777" s="3">
        <v>0.68200000000000005</v>
      </c>
      <c r="H777" s="3">
        <v>0.68899999999999995</v>
      </c>
      <c r="I777" s="3">
        <v>0.69299999999999995</v>
      </c>
      <c r="J777" s="3" t="s">
        <v>67</v>
      </c>
      <c r="K777" s="2">
        <v>120</v>
      </c>
      <c r="L777" s="2">
        <v>112</v>
      </c>
      <c r="M777">
        <f t="shared" ca="1" si="12"/>
        <v>1.4221267854465758E-2</v>
      </c>
    </row>
    <row r="778" spans="1:13" x14ac:dyDescent="0.4">
      <c r="A778" t="s">
        <v>1527</v>
      </c>
      <c r="B778" t="s">
        <v>1528</v>
      </c>
      <c r="C778" t="s">
        <v>61</v>
      </c>
      <c r="D778" s="2">
        <v>1</v>
      </c>
      <c r="E778" s="2">
        <v>48</v>
      </c>
      <c r="F778" s="3">
        <v>0.41699999999999998</v>
      </c>
      <c r="G778" s="3">
        <v>0.14499999999999999</v>
      </c>
      <c r="H778" s="4">
        <v>2.1399999999999998E-5</v>
      </c>
      <c r="I778" s="3">
        <v>0.49299999999999999</v>
      </c>
      <c r="J778" s="3" t="s">
        <v>48</v>
      </c>
      <c r="K778" s="2">
        <v>192</v>
      </c>
      <c r="L778" s="2">
        <v>211</v>
      </c>
      <c r="M778">
        <f t="shared" ca="1" si="12"/>
        <v>2.6525403599072184E-2</v>
      </c>
    </row>
    <row r="779" spans="1:13" x14ac:dyDescent="0.4">
      <c r="A779" t="s">
        <v>1529</v>
      </c>
      <c r="B779" t="s">
        <v>1530</v>
      </c>
      <c r="C779" t="s">
        <v>61</v>
      </c>
      <c r="D779" s="2">
        <v>51</v>
      </c>
      <c r="E779" s="2">
        <v>70</v>
      </c>
      <c r="F779" s="3">
        <v>0.46800000000000003</v>
      </c>
      <c r="G779" s="3">
        <v>3.3599999999999998E-2</v>
      </c>
      <c r="H779" s="3">
        <v>7.1999999999999995E-2</v>
      </c>
      <c r="I779" s="4">
        <v>8.52E-4</v>
      </c>
      <c r="J779" s="3" t="s">
        <v>48</v>
      </c>
      <c r="K779" s="2">
        <v>98</v>
      </c>
      <c r="L779" s="2">
        <v>263</v>
      </c>
      <c r="M779">
        <f t="shared" ca="1" si="12"/>
        <v>0.95820011309139275</v>
      </c>
    </row>
    <row r="780" spans="1:13" x14ac:dyDescent="0.4">
      <c r="A780" t="s">
        <v>1531</v>
      </c>
      <c r="B780" t="s">
        <v>1532</v>
      </c>
      <c r="C780" t="s">
        <v>47</v>
      </c>
      <c r="D780" s="2">
        <v>1</v>
      </c>
      <c r="E780" s="2">
        <v>38</v>
      </c>
      <c r="F780" s="3">
        <v>0.72099999999999997</v>
      </c>
      <c r="G780" s="3">
        <v>3.1E-2</v>
      </c>
      <c r="H780" s="3">
        <v>9.0499999999999997E-2</v>
      </c>
      <c r="I780" s="4">
        <v>3.1300000000000002E-4</v>
      </c>
      <c r="J780" s="3" t="s">
        <v>67</v>
      </c>
      <c r="K780" s="2">
        <v>126</v>
      </c>
      <c r="L780" s="2">
        <v>208</v>
      </c>
      <c r="M780">
        <f t="shared" ca="1" si="12"/>
        <v>0.82191125743153726</v>
      </c>
    </row>
    <row r="781" spans="1:13" x14ac:dyDescent="0.4">
      <c r="A781" t="s">
        <v>1533</v>
      </c>
      <c r="B781" t="s">
        <v>1534</v>
      </c>
      <c r="C781" t="s">
        <v>47</v>
      </c>
      <c r="D781" s="2">
        <v>1</v>
      </c>
      <c r="E781" s="2">
        <v>30</v>
      </c>
      <c r="F781" s="3">
        <v>0.67700000000000005</v>
      </c>
      <c r="G781" s="3">
        <v>2.9499999999999998E-2</v>
      </c>
      <c r="H781" s="3">
        <v>4.0399999999999998E-2</v>
      </c>
      <c r="I781" s="4">
        <v>1.6000000000000001E-4</v>
      </c>
      <c r="J781" s="3" t="s">
        <v>48</v>
      </c>
      <c r="K781" s="2">
        <v>124</v>
      </c>
      <c r="L781" s="2">
        <v>153</v>
      </c>
      <c r="M781">
        <f t="shared" ca="1" si="12"/>
        <v>0.62884627813219407</v>
      </c>
    </row>
    <row r="782" spans="1:13" x14ac:dyDescent="0.4">
      <c r="A782" t="s">
        <v>1535</v>
      </c>
      <c r="B782" t="s">
        <v>738</v>
      </c>
      <c r="C782" t="s">
        <v>61</v>
      </c>
      <c r="D782" s="2">
        <v>36</v>
      </c>
      <c r="E782" s="2">
        <v>65</v>
      </c>
      <c r="F782" s="3">
        <v>0.24099999999999999</v>
      </c>
      <c r="G782" s="3">
        <v>2.7199999999999998E-2</v>
      </c>
      <c r="H782" s="3">
        <v>0.53400000000000003</v>
      </c>
      <c r="I782" s="3">
        <v>0</v>
      </c>
      <c r="J782" s="3" t="s">
        <v>67</v>
      </c>
      <c r="K782" s="2">
        <v>92</v>
      </c>
      <c r="L782" s="2">
        <v>113</v>
      </c>
      <c r="M782">
        <f t="shared" ca="1" si="12"/>
        <v>0.34701441668352395</v>
      </c>
    </row>
    <row r="783" spans="1:13" x14ac:dyDescent="0.4">
      <c r="A783" t="s">
        <v>1536</v>
      </c>
      <c r="B783" t="s">
        <v>1537</v>
      </c>
      <c r="C783" t="s">
        <v>84</v>
      </c>
      <c r="D783" s="2">
        <v>26</v>
      </c>
      <c r="E783" s="2">
        <v>50</v>
      </c>
      <c r="F783" s="3">
        <v>0.81200000000000006</v>
      </c>
      <c r="G783" s="3">
        <v>0.29199999999999998</v>
      </c>
      <c r="H783" s="3">
        <v>0.6</v>
      </c>
      <c r="I783" s="4">
        <v>4.3900000000000003E-5</v>
      </c>
      <c r="J783" s="3" t="s">
        <v>48</v>
      </c>
      <c r="K783" s="2">
        <v>88</v>
      </c>
      <c r="L783" s="2">
        <v>297</v>
      </c>
      <c r="M783">
        <f t="shared" ca="1" si="12"/>
        <v>0.91524987281401571</v>
      </c>
    </row>
    <row r="784" spans="1:13" x14ac:dyDescent="0.4">
      <c r="A784" t="s">
        <v>1538</v>
      </c>
      <c r="B784" t="s">
        <v>1539</v>
      </c>
      <c r="C784" t="s">
        <v>66</v>
      </c>
      <c r="D784" s="2">
        <v>2</v>
      </c>
      <c r="E784" s="2">
        <v>25</v>
      </c>
      <c r="F784" s="3">
        <v>0.40699999999999997</v>
      </c>
      <c r="G784" s="3">
        <v>6.6000000000000003E-2</v>
      </c>
      <c r="H784" s="3">
        <v>0.68400000000000005</v>
      </c>
      <c r="I784" s="4">
        <v>8.3699999999999995E-6</v>
      </c>
      <c r="J784" s="3" t="s">
        <v>67</v>
      </c>
      <c r="K784" s="2">
        <v>76</v>
      </c>
      <c r="L784" s="2">
        <v>233</v>
      </c>
      <c r="M784">
        <f t="shared" ca="1" si="12"/>
        <v>6.1170568403536962E-2</v>
      </c>
    </row>
    <row r="785" spans="1:13" x14ac:dyDescent="0.4">
      <c r="A785" t="s">
        <v>1540</v>
      </c>
      <c r="B785" t="s">
        <v>1541</v>
      </c>
      <c r="C785" t="s">
        <v>53</v>
      </c>
      <c r="D785" s="2">
        <v>1</v>
      </c>
      <c r="E785" s="2">
        <v>52</v>
      </c>
      <c r="F785" s="3">
        <v>0.875</v>
      </c>
      <c r="G785" s="3">
        <v>6.4100000000000004E-2</v>
      </c>
      <c r="H785" s="3">
        <v>5.3199999999999997E-2</v>
      </c>
      <c r="I785" s="4">
        <v>2.1399999999999998E-5</v>
      </c>
      <c r="J785" s="3" t="s">
        <v>48</v>
      </c>
      <c r="K785" s="2">
        <v>96</v>
      </c>
      <c r="L785" s="2">
        <v>151</v>
      </c>
      <c r="M785">
        <f t="shared" ca="1" si="12"/>
        <v>0.11135739861674698</v>
      </c>
    </row>
    <row r="786" spans="1:13" x14ac:dyDescent="0.4">
      <c r="A786" t="s">
        <v>1542</v>
      </c>
      <c r="B786" t="s">
        <v>1543</v>
      </c>
      <c r="C786" t="s">
        <v>66</v>
      </c>
      <c r="D786" s="2">
        <v>10</v>
      </c>
      <c r="E786" s="2">
        <v>8</v>
      </c>
      <c r="F786" s="3">
        <v>0.34599999999999997</v>
      </c>
      <c r="G786" s="3">
        <v>3.1199999999999999E-2</v>
      </c>
      <c r="H786" s="3">
        <v>0.89900000000000002</v>
      </c>
      <c r="I786" s="3">
        <v>0</v>
      </c>
      <c r="J786" s="3" t="s">
        <v>67</v>
      </c>
      <c r="K786" s="2">
        <v>83</v>
      </c>
      <c r="L786" s="2">
        <v>189</v>
      </c>
      <c r="M786">
        <f t="shared" ca="1" si="12"/>
        <v>0.994536174009097</v>
      </c>
    </row>
    <row r="787" spans="1:13" x14ac:dyDescent="0.4">
      <c r="A787" t="s">
        <v>1544</v>
      </c>
      <c r="B787" t="s">
        <v>663</v>
      </c>
      <c r="C787" t="s">
        <v>61</v>
      </c>
      <c r="D787" s="2">
        <v>19</v>
      </c>
      <c r="E787" s="2">
        <v>68</v>
      </c>
      <c r="F787" s="3">
        <v>0.66300000000000003</v>
      </c>
      <c r="G787" s="3">
        <v>0.17199999999999999</v>
      </c>
      <c r="H787" s="3">
        <v>2.4899999999999999E-2</v>
      </c>
      <c r="I787" s="3">
        <v>0</v>
      </c>
      <c r="J787" s="3" t="s">
        <v>48</v>
      </c>
      <c r="K787" s="2">
        <v>168</v>
      </c>
      <c r="L787" s="2">
        <v>341</v>
      </c>
      <c r="M787">
        <f t="shared" ca="1" si="12"/>
        <v>0.12022866796411191</v>
      </c>
    </row>
    <row r="788" spans="1:13" x14ac:dyDescent="0.4">
      <c r="A788" t="s">
        <v>1545</v>
      </c>
      <c r="B788" t="s">
        <v>1546</v>
      </c>
      <c r="C788" t="s">
        <v>84</v>
      </c>
      <c r="D788" s="2">
        <v>14</v>
      </c>
      <c r="E788" s="2">
        <v>42</v>
      </c>
      <c r="F788" s="3">
        <v>0.83699999999999997</v>
      </c>
      <c r="G788" s="3">
        <v>8.6499999999999994E-2</v>
      </c>
      <c r="H788" s="3">
        <v>1.09E-2</v>
      </c>
      <c r="I788" s="4">
        <v>8.2099999999999993E-6</v>
      </c>
      <c r="J788" s="3" t="s">
        <v>48</v>
      </c>
      <c r="K788" s="2">
        <v>84</v>
      </c>
      <c r="L788" s="2">
        <v>257</v>
      </c>
      <c r="M788">
        <f t="shared" ca="1" si="12"/>
        <v>0.88637593165644757</v>
      </c>
    </row>
    <row r="789" spans="1:13" x14ac:dyDescent="0.4">
      <c r="A789" t="s">
        <v>1547</v>
      </c>
      <c r="B789" t="s">
        <v>1548</v>
      </c>
      <c r="C789" t="s">
        <v>84</v>
      </c>
      <c r="D789" s="2">
        <v>0</v>
      </c>
      <c r="E789" s="2">
        <v>52</v>
      </c>
      <c r="F789" s="3">
        <v>0.51700000000000002</v>
      </c>
      <c r="G789" s="3">
        <v>0.13700000000000001</v>
      </c>
      <c r="H789" s="3">
        <v>0.40699999999999997</v>
      </c>
      <c r="I789" s="3">
        <v>0.311</v>
      </c>
      <c r="J789" s="3" t="s">
        <v>48</v>
      </c>
      <c r="K789" s="2">
        <v>75</v>
      </c>
      <c r="L789" s="2">
        <v>96</v>
      </c>
      <c r="M789">
        <f t="shared" ca="1" si="12"/>
        <v>5.1272843211343511E-2</v>
      </c>
    </row>
    <row r="790" spans="1:13" x14ac:dyDescent="0.4">
      <c r="A790" t="s">
        <v>1549</v>
      </c>
      <c r="B790" t="s">
        <v>1550</v>
      </c>
      <c r="C790" t="s">
        <v>47</v>
      </c>
      <c r="D790" s="2">
        <v>1</v>
      </c>
      <c r="E790" s="2">
        <v>65</v>
      </c>
      <c r="F790" s="3">
        <v>0.60899999999999999</v>
      </c>
      <c r="G790" s="3">
        <v>0.108</v>
      </c>
      <c r="H790" s="3">
        <v>2.5200000000000001E-3</v>
      </c>
      <c r="I790" s="3">
        <v>0</v>
      </c>
      <c r="J790" s="3" t="s">
        <v>48</v>
      </c>
      <c r="K790" s="2">
        <v>80</v>
      </c>
      <c r="L790" s="2">
        <v>199</v>
      </c>
      <c r="M790">
        <f t="shared" ca="1" si="12"/>
        <v>0.62024048797885645</v>
      </c>
    </row>
    <row r="791" spans="1:13" x14ac:dyDescent="0.4">
      <c r="A791" t="s">
        <v>1551</v>
      </c>
      <c r="B791" t="s">
        <v>958</v>
      </c>
      <c r="C791" t="s">
        <v>47</v>
      </c>
      <c r="D791" s="2">
        <v>2</v>
      </c>
      <c r="E791" s="2">
        <v>36</v>
      </c>
      <c r="F791" s="3">
        <v>0.60399999999999998</v>
      </c>
      <c r="G791" s="3">
        <v>3.5400000000000001E-2</v>
      </c>
      <c r="H791" s="3">
        <v>0.65100000000000002</v>
      </c>
      <c r="I791" s="3">
        <v>0</v>
      </c>
      <c r="J791" s="3" t="s">
        <v>67</v>
      </c>
      <c r="K791" s="2">
        <v>100</v>
      </c>
      <c r="L791" s="2">
        <v>322</v>
      </c>
      <c r="M791">
        <f t="shared" ca="1" si="12"/>
        <v>0.13347513389245669</v>
      </c>
    </row>
    <row r="792" spans="1:13" x14ac:dyDescent="0.4">
      <c r="A792" t="s">
        <v>1552</v>
      </c>
      <c r="B792" t="s">
        <v>1548</v>
      </c>
      <c r="C792" t="s">
        <v>53</v>
      </c>
      <c r="D792" s="2">
        <v>2</v>
      </c>
      <c r="E792" s="2">
        <v>44</v>
      </c>
      <c r="F792" s="3">
        <v>0.65300000000000002</v>
      </c>
      <c r="G792" s="3">
        <v>0.27400000000000002</v>
      </c>
      <c r="H792" s="3">
        <v>0.255</v>
      </c>
      <c r="I792" s="3">
        <v>0.77400000000000002</v>
      </c>
      <c r="J792" s="3" t="s">
        <v>48</v>
      </c>
      <c r="K792" s="2">
        <v>85</v>
      </c>
      <c r="L792" s="2">
        <v>122</v>
      </c>
      <c r="M792">
        <f t="shared" ca="1" si="12"/>
        <v>8.4626367550485471E-2</v>
      </c>
    </row>
    <row r="793" spans="1:13" x14ac:dyDescent="0.4">
      <c r="A793" t="s">
        <v>1553</v>
      </c>
      <c r="B793" t="s">
        <v>1554</v>
      </c>
      <c r="C793" t="s">
        <v>47</v>
      </c>
      <c r="D793" s="2">
        <v>3</v>
      </c>
      <c r="E793" s="2">
        <v>68</v>
      </c>
      <c r="F793" s="3">
        <v>0.76400000000000001</v>
      </c>
      <c r="G793" s="3">
        <v>7.3800000000000004E-2</v>
      </c>
      <c r="H793" s="3">
        <v>8.1600000000000006E-2</v>
      </c>
      <c r="I793" s="4">
        <v>1.08E-4</v>
      </c>
      <c r="J793" s="3" t="s">
        <v>48</v>
      </c>
      <c r="K793" s="2">
        <v>118</v>
      </c>
      <c r="L793" s="2">
        <v>358</v>
      </c>
      <c r="M793">
        <f t="shared" ca="1" si="12"/>
        <v>0.62688640962208986</v>
      </c>
    </row>
    <row r="794" spans="1:13" x14ac:dyDescent="0.4">
      <c r="A794" t="s">
        <v>1555</v>
      </c>
      <c r="B794" t="s">
        <v>1556</v>
      </c>
      <c r="C794" t="s">
        <v>47</v>
      </c>
      <c r="D794" s="2">
        <v>2</v>
      </c>
      <c r="E794" s="2">
        <v>67</v>
      </c>
      <c r="F794" s="3">
        <v>0.78100000000000003</v>
      </c>
      <c r="G794" s="3">
        <v>2.9600000000000001E-2</v>
      </c>
      <c r="H794" s="3">
        <v>6.4899999999999999E-2</v>
      </c>
      <c r="I794" s="3">
        <v>0</v>
      </c>
      <c r="J794" s="3" t="s">
        <v>48</v>
      </c>
      <c r="K794" s="2">
        <v>110</v>
      </c>
      <c r="L794" s="2">
        <v>197</v>
      </c>
      <c r="M794">
        <f t="shared" ca="1" si="12"/>
        <v>0.27907462259599203</v>
      </c>
    </row>
    <row r="795" spans="1:13" x14ac:dyDescent="0.4">
      <c r="A795" t="s">
        <v>1557</v>
      </c>
      <c r="B795" t="s">
        <v>1558</v>
      </c>
      <c r="C795" t="s">
        <v>84</v>
      </c>
      <c r="D795" s="2">
        <v>35</v>
      </c>
      <c r="E795" s="2">
        <v>38</v>
      </c>
      <c r="F795" s="3">
        <v>0.67</v>
      </c>
      <c r="G795" s="3">
        <v>4.1799999999999997E-2</v>
      </c>
      <c r="H795" s="3">
        <v>0.56699999999999995</v>
      </c>
      <c r="I795" s="4">
        <v>1.9700000000000001E-5</v>
      </c>
      <c r="J795" s="3" t="s">
        <v>67</v>
      </c>
      <c r="K795" s="2">
        <v>137</v>
      </c>
      <c r="L795" s="2">
        <v>249</v>
      </c>
      <c r="M795">
        <f t="shared" ca="1" si="12"/>
        <v>0.62795192556843238</v>
      </c>
    </row>
    <row r="796" spans="1:13" x14ac:dyDescent="0.4">
      <c r="A796" t="s">
        <v>1559</v>
      </c>
      <c r="B796" t="s">
        <v>1560</v>
      </c>
      <c r="C796" t="s">
        <v>84</v>
      </c>
      <c r="D796" s="2">
        <v>12</v>
      </c>
      <c r="E796" s="2">
        <v>42</v>
      </c>
      <c r="F796" s="3">
        <v>0.88400000000000001</v>
      </c>
      <c r="G796" s="3">
        <v>6.5000000000000002E-2</v>
      </c>
      <c r="H796" s="3">
        <v>0.46200000000000002</v>
      </c>
      <c r="I796" s="3">
        <v>0</v>
      </c>
      <c r="J796" s="3" t="s">
        <v>67</v>
      </c>
      <c r="K796" s="2">
        <v>92</v>
      </c>
      <c r="L796" s="2">
        <v>241</v>
      </c>
      <c r="M796">
        <f t="shared" ca="1" si="12"/>
        <v>7.3364890648158987E-2</v>
      </c>
    </row>
    <row r="797" spans="1:13" x14ac:dyDescent="0.4">
      <c r="A797" t="s">
        <v>1561</v>
      </c>
      <c r="B797" t="s">
        <v>1562</v>
      </c>
      <c r="C797" t="s">
        <v>61</v>
      </c>
      <c r="D797" s="2">
        <v>35</v>
      </c>
      <c r="E797" s="2">
        <v>27</v>
      </c>
      <c r="F797" s="3">
        <v>0.78200000000000003</v>
      </c>
      <c r="G797" s="3">
        <v>3.4599999999999999E-2</v>
      </c>
      <c r="H797" s="3">
        <v>0.51600000000000001</v>
      </c>
      <c r="I797" s="4">
        <v>2.5999999999999998E-4</v>
      </c>
      <c r="J797" s="3" t="s">
        <v>67</v>
      </c>
      <c r="K797" s="2">
        <v>116</v>
      </c>
      <c r="L797" s="2">
        <v>279</v>
      </c>
      <c r="M797">
        <f t="shared" ca="1" si="12"/>
        <v>0.89291269939254536</v>
      </c>
    </row>
    <row r="798" spans="1:13" x14ac:dyDescent="0.4">
      <c r="A798" t="s">
        <v>1563</v>
      </c>
      <c r="B798" t="s">
        <v>442</v>
      </c>
      <c r="C798" t="s">
        <v>61</v>
      </c>
      <c r="D798" s="2">
        <v>46</v>
      </c>
      <c r="E798" s="2">
        <v>32</v>
      </c>
      <c r="F798" s="3">
        <v>0.61399999999999999</v>
      </c>
      <c r="G798" s="3">
        <v>0.03</v>
      </c>
      <c r="H798" s="3">
        <v>8.0799999999999997E-2</v>
      </c>
      <c r="I798" s="3">
        <v>3.0700000000000002E-2</v>
      </c>
      <c r="J798" s="3" t="s">
        <v>48</v>
      </c>
      <c r="K798" s="2">
        <v>126</v>
      </c>
      <c r="L798" s="2">
        <v>110</v>
      </c>
      <c r="M798">
        <f t="shared" ca="1" si="12"/>
        <v>0.82263978964299667</v>
      </c>
    </row>
    <row r="799" spans="1:13" x14ac:dyDescent="0.4">
      <c r="A799" t="s">
        <v>1564</v>
      </c>
      <c r="B799" t="s">
        <v>1565</v>
      </c>
      <c r="C799" t="s">
        <v>66</v>
      </c>
      <c r="D799" s="2">
        <v>20</v>
      </c>
      <c r="E799" s="2">
        <v>14</v>
      </c>
      <c r="F799" s="3">
        <v>0.63400000000000001</v>
      </c>
      <c r="G799" s="3">
        <v>5.9700000000000003E-2</v>
      </c>
      <c r="H799" s="3">
        <v>0.88200000000000001</v>
      </c>
      <c r="I799" s="4">
        <v>2.3900000000000002E-5</v>
      </c>
      <c r="J799" s="3" t="s">
        <v>67</v>
      </c>
      <c r="K799" s="2">
        <v>108</v>
      </c>
      <c r="L799" s="2">
        <v>191</v>
      </c>
      <c r="M799">
        <f t="shared" ca="1" si="12"/>
        <v>0.12187887647350659</v>
      </c>
    </row>
    <row r="800" spans="1:13" x14ac:dyDescent="0.4">
      <c r="A800" t="s">
        <v>1566</v>
      </c>
      <c r="B800" t="s">
        <v>1567</v>
      </c>
      <c r="C800" t="s">
        <v>61</v>
      </c>
      <c r="D800" s="2">
        <v>44</v>
      </c>
      <c r="E800" s="2">
        <v>58</v>
      </c>
      <c r="F800" s="3">
        <v>0.64300000000000002</v>
      </c>
      <c r="G800" s="3">
        <v>3.49E-2</v>
      </c>
      <c r="H800" s="3">
        <v>0.214</v>
      </c>
      <c r="I800" s="4">
        <v>4.2100000000000003E-6</v>
      </c>
      <c r="J800" s="3" t="s">
        <v>48</v>
      </c>
      <c r="K800" s="2">
        <v>106</v>
      </c>
      <c r="L800" s="2">
        <v>227</v>
      </c>
      <c r="M800">
        <f t="shared" ca="1" si="12"/>
        <v>0.84197040834105097</v>
      </c>
    </row>
    <row r="801" spans="1:13" x14ac:dyDescent="0.4">
      <c r="A801" t="s">
        <v>1568</v>
      </c>
      <c r="B801" t="s">
        <v>689</v>
      </c>
      <c r="C801" t="s">
        <v>84</v>
      </c>
      <c r="D801" s="2">
        <v>26</v>
      </c>
      <c r="E801" s="2">
        <v>42</v>
      </c>
      <c r="F801" s="3">
        <v>0.81799999999999995</v>
      </c>
      <c r="G801" s="3">
        <v>0.105</v>
      </c>
      <c r="H801" s="3">
        <v>1.9199999999999998E-2</v>
      </c>
      <c r="I801" s="4">
        <v>1.47E-5</v>
      </c>
      <c r="J801" s="3" t="s">
        <v>48</v>
      </c>
      <c r="K801" s="2">
        <v>150</v>
      </c>
      <c r="L801" s="2">
        <v>314</v>
      </c>
      <c r="M801">
        <f t="shared" ca="1" si="12"/>
        <v>4.6450140165021803E-2</v>
      </c>
    </row>
    <row r="802" spans="1:13" x14ac:dyDescent="0.4">
      <c r="A802" t="s">
        <v>1569</v>
      </c>
      <c r="B802" t="s">
        <v>1570</v>
      </c>
      <c r="C802" t="s">
        <v>61</v>
      </c>
      <c r="D802" s="2">
        <v>35</v>
      </c>
      <c r="E802" s="2">
        <v>50</v>
      </c>
      <c r="F802" s="3">
        <v>0.55900000000000005</v>
      </c>
      <c r="G802" s="3">
        <v>3.32E-2</v>
      </c>
      <c r="H802" s="3">
        <v>0.68600000000000005</v>
      </c>
      <c r="I802" s="3">
        <v>0</v>
      </c>
      <c r="J802" s="3" t="s">
        <v>67</v>
      </c>
      <c r="K802" s="2">
        <v>75</v>
      </c>
      <c r="L802" s="2">
        <v>277</v>
      </c>
      <c r="M802">
        <f t="shared" ca="1" si="12"/>
        <v>0.29096450639842997</v>
      </c>
    </row>
    <row r="803" spans="1:13" x14ac:dyDescent="0.4">
      <c r="A803" t="s">
        <v>1571</v>
      </c>
      <c r="B803" t="s">
        <v>316</v>
      </c>
      <c r="C803" t="s">
        <v>66</v>
      </c>
      <c r="D803" s="2">
        <v>3</v>
      </c>
      <c r="E803" s="2">
        <v>70</v>
      </c>
      <c r="F803" s="3">
        <v>0.84499999999999997</v>
      </c>
      <c r="G803" s="3">
        <v>7.1400000000000005E-2</v>
      </c>
      <c r="H803" s="3">
        <v>2.3300000000000001E-2</v>
      </c>
      <c r="I803" s="3">
        <v>0</v>
      </c>
      <c r="J803" s="3" t="s">
        <v>48</v>
      </c>
      <c r="K803" s="2">
        <v>98</v>
      </c>
      <c r="L803" s="2">
        <v>188</v>
      </c>
      <c r="M803">
        <f t="shared" ca="1" si="12"/>
        <v>0.30059080892344758</v>
      </c>
    </row>
    <row r="804" spans="1:13" x14ac:dyDescent="0.4">
      <c r="A804" t="s">
        <v>1572</v>
      </c>
      <c r="B804" t="s">
        <v>216</v>
      </c>
      <c r="C804" t="s">
        <v>61</v>
      </c>
      <c r="D804" s="2">
        <v>48</v>
      </c>
      <c r="E804" s="2">
        <v>17</v>
      </c>
      <c r="F804" s="3">
        <v>0.56399999999999995</v>
      </c>
      <c r="G804" s="3">
        <v>0.105</v>
      </c>
      <c r="H804" s="3">
        <v>0.65200000000000002</v>
      </c>
      <c r="I804" s="4">
        <v>2.04E-4</v>
      </c>
      <c r="J804" s="3" t="s">
        <v>67</v>
      </c>
      <c r="K804" s="2">
        <v>105</v>
      </c>
      <c r="L804" s="2">
        <v>254</v>
      </c>
      <c r="M804">
        <f t="shared" ca="1" si="12"/>
        <v>0.96961280491549107</v>
      </c>
    </row>
    <row r="805" spans="1:13" x14ac:dyDescent="0.4">
      <c r="A805" t="s">
        <v>1573</v>
      </c>
      <c r="B805" t="s">
        <v>1574</v>
      </c>
      <c r="C805" t="s">
        <v>56</v>
      </c>
      <c r="D805" s="2">
        <v>1</v>
      </c>
      <c r="E805" s="2">
        <v>21</v>
      </c>
      <c r="F805" s="3">
        <v>0.63</v>
      </c>
      <c r="G805" s="3">
        <v>0.13400000000000001</v>
      </c>
      <c r="H805" s="3">
        <v>8.14E-2</v>
      </c>
      <c r="I805" s="3">
        <v>0.67500000000000004</v>
      </c>
      <c r="J805" s="3" t="s">
        <v>48</v>
      </c>
      <c r="K805" s="2">
        <v>128</v>
      </c>
      <c r="L805" s="2">
        <v>139</v>
      </c>
      <c r="M805">
        <f t="shared" ca="1" si="12"/>
        <v>0.2592494240028016</v>
      </c>
    </row>
    <row r="806" spans="1:13" x14ac:dyDescent="0.4">
      <c r="A806" t="s">
        <v>1575</v>
      </c>
      <c r="B806" t="s">
        <v>1576</v>
      </c>
      <c r="C806" t="s">
        <v>61</v>
      </c>
      <c r="D806" s="2">
        <v>13</v>
      </c>
      <c r="E806" s="2">
        <v>64</v>
      </c>
      <c r="F806" s="3">
        <v>0.44700000000000001</v>
      </c>
      <c r="G806" s="3">
        <v>4.3299999999999998E-2</v>
      </c>
      <c r="H806" s="3">
        <v>1.46E-2</v>
      </c>
      <c r="I806" s="3">
        <v>0</v>
      </c>
      <c r="J806" s="3" t="s">
        <v>48</v>
      </c>
      <c r="K806" s="2">
        <v>170</v>
      </c>
      <c r="L806" s="2">
        <v>206</v>
      </c>
      <c r="M806">
        <f t="shared" ca="1" si="12"/>
        <v>0.91795964242368278</v>
      </c>
    </row>
    <row r="807" spans="1:13" x14ac:dyDescent="0.4">
      <c r="A807" t="s">
        <v>1577</v>
      </c>
      <c r="B807" t="s">
        <v>1308</v>
      </c>
      <c r="C807" t="s">
        <v>47</v>
      </c>
      <c r="D807" s="2">
        <v>2</v>
      </c>
      <c r="E807" s="2">
        <v>87</v>
      </c>
      <c r="F807" s="3">
        <v>0.71899999999999997</v>
      </c>
      <c r="G807" s="3">
        <v>4.7600000000000003E-2</v>
      </c>
      <c r="H807" s="3">
        <v>6.9099999999999995E-2</v>
      </c>
      <c r="I807" s="3">
        <v>0</v>
      </c>
      <c r="J807" s="3" t="s">
        <v>48</v>
      </c>
      <c r="K807" s="2">
        <v>133</v>
      </c>
      <c r="L807" s="2">
        <v>187</v>
      </c>
      <c r="M807">
        <f t="shared" ca="1" si="12"/>
        <v>0.91620985474015337</v>
      </c>
    </row>
    <row r="808" spans="1:13" x14ac:dyDescent="0.4">
      <c r="A808" t="s">
        <v>1578</v>
      </c>
      <c r="B808" t="s">
        <v>1085</v>
      </c>
      <c r="C808" t="s">
        <v>61</v>
      </c>
      <c r="D808" s="2">
        <v>45</v>
      </c>
      <c r="E808" s="2">
        <v>47</v>
      </c>
      <c r="F808" s="3">
        <v>0.72799999999999998</v>
      </c>
      <c r="G808" s="3">
        <v>2.8400000000000002E-2</v>
      </c>
      <c r="H808" s="3">
        <v>0.224</v>
      </c>
      <c r="I808" s="3">
        <v>0.14199999999999999</v>
      </c>
      <c r="J808" s="3" t="s">
        <v>48</v>
      </c>
      <c r="K808" s="2">
        <v>130</v>
      </c>
      <c r="L808" s="2">
        <v>250</v>
      </c>
      <c r="M808">
        <f t="shared" ca="1" si="12"/>
        <v>0.64168933298055897</v>
      </c>
    </row>
    <row r="809" spans="1:13" x14ac:dyDescent="0.4">
      <c r="A809" t="s">
        <v>1579</v>
      </c>
      <c r="B809" t="s">
        <v>142</v>
      </c>
      <c r="C809" t="s">
        <v>84</v>
      </c>
      <c r="D809" s="2">
        <v>9</v>
      </c>
      <c r="E809" s="2">
        <v>6</v>
      </c>
      <c r="F809" s="3">
        <v>0.8</v>
      </c>
      <c r="G809" s="3">
        <v>0.20399999999999999</v>
      </c>
      <c r="H809" s="3">
        <v>9.8700000000000003E-3</v>
      </c>
      <c r="I809" s="3">
        <v>0</v>
      </c>
      <c r="J809" s="3" t="s">
        <v>48</v>
      </c>
      <c r="K809" s="2">
        <v>146</v>
      </c>
      <c r="L809" s="2">
        <v>279</v>
      </c>
      <c r="M809">
        <f t="shared" ca="1" si="12"/>
        <v>2.0373698531213402E-2</v>
      </c>
    </row>
    <row r="810" spans="1:13" x14ac:dyDescent="0.4">
      <c r="A810" t="s">
        <v>1580</v>
      </c>
      <c r="B810" t="s">
        <v>1581</v>
      </c>
      <c r="C810" t="s">
        <v>61</v>
      </c>
      <c r="D810" s="2">
        <v>19</v>
      </c>
      <c r="E810" s="2">
        <v>69</v>
      </c>
      <c r="F810" s="3">
        <v>0.56299999999999994</v>
      </c>
      <c r="G810" s="3">
        <v>6.2100000000000002E-2</v>
      </c>
      <c r="H810" s="3">
        <v>8.3400000000000002E-3</v>
      </c>
      <c r="I810" s="3">
        <v>1.06E-2</v>
      </c>
      <c r="J810" s="3" t="s">
        <v>48</v>
      </c>
      <c r="K810" s="2">
        <v>98</v>
      </c>
      <c r="L810" s="2">
        <v>256</v>
      </c>
      <c r="M810">
        <f t="shared" ca="1" si="12"/>
        <v>0.53142296948690571</v>
      </c>
    </row>
    <row r="811" spans="1:13" x14ac:dyDescent="0.4">
      <c r="A811" t="s">
        <v>1582</v>
      </c>
      <c r="B811" t="s">
        <v>1583</v>
      </c>
      <c r="C811" t="s">
        <v>61</v>
      </c>
      <c r="D811" s="2">
        <v>46</v>
      </c>
      <c r="E811" s="2">
        <v>1</v>
      </c>
      <c r="F811" s="3">
        <v>0.20799999999999999</v>
      </c>
      <c r="G811" s="3">
        <v>6.2399999999999997E-2</v>
      </c>
      <c r="H811" s="3">
        <v>3.5599999999999998E-3</v>
      </c>
      <c r="I811" s="3">
        <v>5.3699999999999998E-2</v>
      </c>
      <c r="J811" s="3" t="s">
        <v>48</v>
      </c>
      <c r="K811" s="2">
        <v>157</v>
      </c>
      <c r="L811" s="2">
        <v>430</v>
      </c>
      <c r="M811">
        <f t="shared" ca="1" si="12"/>
        <v>0.36517819509005345</v>
      </c>
    </row>
    <row r="812" spans="1:13" x14ac:dyDescent="0.4">
      <c r="A812" t="s">
        <v>1584</v>
      </c>
      <c r="B812" t="s">
        <v>1585</v>
      </c>
      <c r="C812" t="s">
        <v>66</v>
      </c>
      <c r="D812" s="2">
        <v>8</v>
      </c>
      <c r="E812" s="2">
        <v>28</v>
      </c>
      <c r="F812" s="3">
        <v>0.73299999999999998</v>
      </c>
      <c r="G812" s="3">
        <v>4.5199999999999997E-2</v>
      </c>
      <c r="H812" s="3">
        <v>0.13500000000000001</v>
      </c>
      <c r="I812" s="3">
        <v>0.56299999999999994</v>
      </c>
      <c r="J812" s="3" t="s">
        <v>48</v>
      </c>
      <c r="K812" s="2">
        <v>105</v>
      </c>
      <c r="L812" s="2">
        <v>465</v>
      </c>
      <c r="M812">
        <f t="shared" ca="1" si="12"/>
        <v>0.71812311643545301</v>
      </c>
    </row>
    <row r="813" spans="1:13" x14ac:dyDescent="0.4">
      <c r="A813" t="s">
        <v>1586</v>
      </c>
      <c r="B813" t="s">
        <v>1587</v>
      </c>
      <c r="C813" t="s">
        <v>53</v>
      </c>
      <c r="D813" s="2">
        <v>2</v>
      </c>
      <c r="E813" s="2">
        <v>52</v>
      </c>
      <c r="F813" s="3">
        <v>0.80800000000000005</v>
      </c>
      <c r="G813" s="3">
        <v>9.5100000000000004E-2</v>
      </c>
      <c r="H813" s="3">
        <v>0.161</v>
      </c>
      <c r="I813" s="4">
        <v>3.3E-4</v>
      </c>
      <c r="J813" s="3" t="s">
        <v>48</v>
      </c>
      <c r="K813" s="2">
        <v>126</v>
      </c>
      <c r="L813" s="2">
        <v>198</v>
      </c>
      <c r="M813">
        <f t="shared" ca="1" si="12"/>
        <v>2.6949042375918775E-2</v>
      </c>
    </row>
    <row r="814" spans="1:13" x14ac:dyDescent="0.4">
      <c r="A814" t="s">
        <v>1588</v>
      </c>
      <c r="B814" t="s">
        <v>1589</v>
      </c>
      <c r="C814" t="s">
        <v>56</v>
      </c>
      <c r="D814" s="2">
        <v>1</v>
      </c>
      <c r="E814" s="2">
        <v>37</v>
      </c>
      <c r="F814" s="3">
        <v>0.746</v>
      </c>
      <c r="G814" s="3">
        <v>0.14899999999999999</v>
      </c>
      <c r="H814" s="3">
        <v>5.3400000000000001E-3</v>
      </c>
      <c r="I814" s="3">
        <v>5.9199999999999999E-3</v>
      </c>
      <c r="J814" s="3" t="s">
        <v>48</v>
      </c>
      <c r="K814" s="2">
        <v>125</v>
      </c>
      <c r="L814" s="2">
        <v>202</v>
      </c>
      <c r="M814">
        <f t="shared" ca="1" si="12"/>
        <v>0.3568805023275935</v>
      </c>
    </row>
    <row r="815" spans="1:13" x14ac:dyDescent="0.4">
      <c r="A815" t="s">
        <v>1590</v>
      </c>
      <c r="B815" t="s">
        <v>1591</v>
      </c>
      <c r="C815" t="s">
        <v>53</v>
      </c>
      <c r="D815" s="2">
        <v>0</v>
      </c>
      <c r="E815" s="2">
        <v>57</v>
      </c>
      <c r="F815" s="3">
        <v>0.83599999999999997</v>
      </c>
      <c r="G815" s="3">
        <v>0.19700000000000001</v>
      </c>
      <c r="H815" s="3">
        <v>4.5400000000000003E-2</v>
      </c>
      <c r="I815" s="3">
        <v>0</v>
      </c>
      <c r="J815" s="3" t="s">
        <v>48</v>
      </c>
      <c r="K815" s="2">
        <v>100</v>
      </c>
      <c r="L815" s="2">
        <v>142</v>
      </c>
      <c r="M815">
        <f t="shared" ca="1" si="12"/>
        <v>0.32136947839409802</v>
      </c>
    </row>
    <row r="816" spans="1:13" x14ac:dyDescent="0.4">
      <c r="A816" t="s">
        <v>1592</v>
      </c>
      <c r="B816" t="s">
        <v>1593</v>
      </c>
      <c r="C816" t="s">
        <v>56</v>
      </c>
      <c r="D816" s="2">
        <v>1</v>
      </c>
      <c r="E816" s="2">
        <v>44</v>
      </c>
      <c r="F816" s="3">
        <v>0.56299999999999994</v>
      </c>
      <c r="G816" s="3">
        <v>3.8600000000000002E-2</v>
      </c>
      <c r="H816" s="3">
        <v>1.6800000000000001E-3</v>
      </c>
      <c r="I816" s="3">
        <v>1.42E-3</v>
      </c>
      <c r="J816" s="3" t="s">
        <v>48</v>
      </c>
      <c r="K816" s="2">
        <v>126</v>
      </c>
      <c r="L816" s="2">
        <v>181</v>
      </c>
      <c r="M816">
        <f t="shared" ca="1" si="12"/>
        <v>0.8907530380725035</v>
      </c>
    </row>
    <row r="817" spans="1:13" x14ac:dyDescent="0.4">
      <c r="A817" t="s">
        <v>1594</v>
      </c>
      <c r="B817" t="s">
        <v>1595</v>
      </c>
      <c r="C817" t="s">
        <v>61</v>
      </c>
      <c r="D817" s="2">
        <v>14</v>
      </c>
      <c r="E817" s="2">
        <v>12</v>
      </c>
      <c r="F817" s="3">
        <v>0.52600000000000002</v>
      </c>
      <c r="G817" s="3">
        <v>3.9100000000000003E-2</v>
      </c>
      <c r="H817" s="3">
        <v>2.7E-2</v>
      </c>
      <c r="I817" s="4">
        <v>7.2800000000000002E-4</v>
      </c>
      <c r="J817" s="3" t="s">
        <v>48</v>
      </c>
      <c r="K817" s="2">
        <v>147</v>
      </c>
      <c r="L817" s="2">
        <v>221</v>
      </c>
      <c r="M817">
        <f t="shared" ca="1" si="12"/>
        <v>0.63767091342129978</v>
      </c>
    </row>
    <row r="818" spans="1:13" x14ac:dyDescent="0.4">
      <c r="A818" t="s">
        <v>1596</v>
      </c>
      <c r="B818" t="s">
        <v>1597</v>
      </c>
      <c r="C818" t="s">
        <v>47</v>
      </c>
      <c r="D818" s="2">
        <v>17</v>
      </c>
      <c r="E818" s="2">
        <v>54</v>
      </c>
      <c r="F818" s="3">
        <v>0.86299999999999999</v>
      </c>
      <c r="G818" s="3">
        <v>3.4799999999999998E-2</v>
      </c>
      <c r="H818" s="3">
        <v>0.76200000000000001</v>
      </c>
      <c r="I818" s="3">
        <v>2.4499999999999999E-3</v>
      </c>
      <c r="J818" s="3" t="s">
        <v>67</v>
      </c>
      <c r="K818" s="2">
        <v>118</v>
      </c>
      <c r="L818" s="2">
        <v>247</v>
      </c>
      <c r="M818">
        <f t="shared" ca="1" si="12"/>
        <v>0.5102412208991175</v>
      </c>
    </row>
    <row r="819" spans="1:13" x14ac:dyDescent="0.4">
      <c r="A819" t="s">
        <v>1598</v>
      </c>
      <c r="B819" t="s">
        <v>52</v>
      </c>
      <c r="C819" t="s">
        <v>53</v>
      </c>
      <c r="D819" s="2">
        <v>3</v>
      </c>
      <c r="E819" s="2">
        <v>36</v>
      </c>
      <c r="F819" s="3">
        <v>0.89500000000000002</v>
      </c>
      <c r="G819" s="3">
        <v>6.4600000000000005E-2</v>
      </c>
      <c r="H819" s="3">
        <v>0.28799999999999998</v>
      </c>
      <c r="I819" s="3">
        <v>0</v>
      </c>
      <c r="J819" s="3" t="s">
        <v>48</v>
      </c>
      <c r="K819" s="2">
        <v>130</v>
      </c>
      <c r="L819" s="2">
        <v>202</v>
      </c>
      <c r="M819">
        <f t="shared" ca="1" si="12"/>
        <v>0.89284349699175736</v>
      </c>
    </row>
    <row r="820" spans="1:13" x14ac:dyDescent="0.4">
      <c r="A820" t="s">
        <v>1599</v>
      </c>
      <c r="B820" t="s">
        <v>1600</v>
      </c>
      <c r="C820" t="s">
        <v>47</v>
      </c>
      <c r="D820" s="2">
        <v>5</v>
      </c>
      <c r="E820" s="2">
        <v>26</v>
      </c>
      <c r="F820" s="3">
        <v>0.61799999999999999</v>
      </c>
      <c r="G820" s="3">
        <v>2.7099999999999999E-2</v>
      </c>
      <c r="H820" s="3">
        <v>0.107</v>
      </c>
      <c r="I820" s="3">
        <v>1.6500000000000001E-2</v>
      </c>
      <c r="J820" s="3" t="s">
        <v>48</v>
      </c>
      <c r="K820" s="2">
        <v>107</v>
      </c>
      <c r="L820" s="2">
        <v>287</v>
      </c>
      <c r="M820">
        <f t="shared" ca="1" si="12"/>
        <v>0.62519402346859942</v>
      </c>
    </row>
    <row r="821" spans="1:13" x14ac:dyDescent="0.4">
      <c r="A821" t="s">
        <v>1601</v>
      </c>
      <c r="B821" t="s">
        <v>408</v>
      </c>
      <c r="C821" t="s">
        <v>47</v>
      </c>
      <c r="D821" s="2">
        <v>1</v>
      </c>
      <c r="E821" s="2">
        <v>83</v>
      </c>
      <c r="F821" s="3">
        <v>0.66100000000000003</v>
      </c>
      <c r="G821" s="3">
        <v>5.6599999999999998E-2</v>
      </c>
      <c r="H821" s="3">
        <v>0.17899999999999999</v>
      </c>
      <c r="I821" s="4">
        <v>1.2300000000000001E-5</v>
      </c>
      <c r="J821" s="3" t="s">
        <v>48</v>
      </c>
      <c r="K821" s="2">
        <v>114</v>
      </c>
      <c r="L821" s="2">
        <v>164</v>
      </c>
      <c r="M821">
        <f t="shared" ca="1" si="12"/>
        <v>0.91513963327517944</v>
      </c>
    </row>
    <row r="822" spans="1:13" x14ac:dyDescent="0.4">
      <c r="A822" t="s">
        <v>1602</v>
      </c>
      <c r="B822" t="s">
        <v>1603</v>
      </c>
      <c r="C822" t="s">
        <v>56</v>
      </c>
      <c r="D822" s="2">
        <v>1</v>
      </c>
      <c r="E822" s="2">
        <v>75</v>
      </c>
      <c r="F822" s="3">
        <v>0.78900000000000003</v>
      </c>
      <c r="G822" s="3">
        <v>0.218</v>
      </c>
      <c r="H822" s="3">
        <v>0.223</v>
      </c>
      <c r="I822" s="3">
        <v>0</v>
      </c>
      <c r="J822" s="3" t="s">
        <v>48</v>
      </c>
      <c r="K822" s="2">
        <v>122</v>
      </c>
      <c r="L822" s="2">
        <v>167</v>
      </c>
      <c r="M822">
        <f t="shared" ca="1" si="12"/>
        <v>0.51901283982960023</v>
      </c>
    </row>
    <row r="823" spans="1:13" x14ac:dyDescent="0.4">
      <c r="A823" t="s">
        <v>1604</v>
      </c>
      <c r="B823" t="s">
        <v>1605</v>
      </c>
      <c r="C823" t="s">
        <v>61</v>
      </c>
      <c r="D823" s="2">
        <v>14</v>
      </c>
      <c r="E823" s="2">
        <v>63</v>
      </c>
      <c r="F823" s="3">
        <v>0.55900000000000005</v>
      </c>
      <c r="G823" s="3">
        <v>0.114</v>
      </c>
      <c r="H823" s="3">
        <v>0.216</v>
      </c>
      <c r="I823" s="3">
        <v>0</v>
      </c>
      <c r="J823" s="3" t="s">
        <v>48</v>
      </c>
      <c r="K823" s="2">
        <v>80</v>
      </c>
      <c r="L823" s="2">
        <v>213</v>
      </c>
      <c r="M823">
        <f t="shared" ca="1" si="12"/>
        <v>0.53897252774917903</v>
      </c>
    </row>
    <row r="824" spans="1:13" x14ac:dyDescent="0.4">
      <c r="A824" t="s">
        <v>1606</v>
      </c>
      <c r="B824" t="s">
        <v>1607</v>
      </c>
      <c r="C824" t="s">
        <v>56</v>
      </c>
      <c r="D824" s="2">
        <v>1</v>
      </c>
      <c r="E824" s="2">
        <v>14</v>
      </c>
      <c r="F824" s="3">
        <v>0.56699999999999995</v>
      </c>
      <c r="G824" s="3">
        <v>0.09</v>
      </c>
      <c r="H824" s="3">
        <v>8.4099999999999994E-2</v>
      </c>
      <c r="I824" s="3">
        <v>1.14E-2</v>
      </c>
      <c r="J824" s="3" t="s">
        <v>48</v>
      </c>
      <c r="K824" s="2">
        <v>128</v>
      </c>
      <c r="L824" s="2">
        <v>197</v>
      </c>
      <c r="M824">
        <f t="shared" ca="1" si="12"/>
        <v>0.52861880542367534</v>
      </c>
    </row>
    <row r="825" spans="1:13" x14ac:dyDescent="0.4">
      <c r="A825" t="s">
        <v>1608</v>
      </c>
      <c r="B825" t="s">
        <v>1609</v>
      </c>
      <c r="C825" t="s">
        <v>56</v>
      </c>
      <c r="D825" s="2">
        <v>1</v>
      </c>
      <c r="E825" s="2">
        <v>39</v>
      </c>
      <c r="F825" s="3">
        <v>0.67300000000000004</v>
      </c>
      <c r="G825" s="3">
        <v>4.4900000000000002E-2</v>
      </c>
      <c r="H825" s="3">
        <v>3.2399999999999998E-3</v>
      </c>
      <c r="I825" s="3">
        <v>0.70899999999999996</v>
      </c>
      <c r="J825" s="3" t="s">
        <v>48</v>
      </c>
      <c r="K825" s="2">
        <v>125</v>
      </c>
      <c r="L825" s="2">
        <v>166</v>
      </c>
      <c r="M825">
        <f t="shared" ca="1" si="12"/>
        <v>0.9269187944254127</v>
      </c>
    </row>
    <row r="826" spans="1:13" x14ac:dyDescent="0.4">
      <c r="A826" t="s">
        <v>1610</v>
      </c>
      <c r="B826" t="s">
        <v>1611</v>
      </c>
      <c r="C826" t="s">
        <v>53</v>
      </c>
      <c r="D826" s="2">
        <v>2</v>
      </c>
      <c r="E826" s="2">
        <v>47</v>
      </c>
      <c r="F826" s="3">
        <v>0.67</v>
      </c>
      <c r="G826" s="3">
        <v>3.2099999999999997E-2</v>
      </c>
      <c r="H826" s="3">
        <v>5.3800000000000002E-3</v>
      </c>
      <c r="I826" s="4">
        <v>4.4799999999999999E-4</v>
      </c>
      <c r="J826" s="3" t="s">
        <v>48</v>
      </c>
      <c r="K826" s="2">
        <v>120</v>
      </c>
      <c r="L826" s="2">
        <v>185</v>
      </c>
      <c r="M826">
        <f t="shared" ca="1" si="12"/>
        <v>0.64234337809290987</v>
      </c>
    </row>
    <row r="827" spans="1:13" x14ac:dyDescent="0.4">
      <c r="A827" t="s">
        <v>1612</v>
      </c>
      <c r="B827" t="s">
        <v>1613</v>
      </c>
      <c r="C827" t="s">
        <v>66</v>
      </c>
      <c r="D827" s="2">
        <v>27</v>
      </c>
      <c r="E827" s="2">
        <v>57</v>
      </c>
      <c r="F827" s="3">
        <v>0.70099999999999996</v>
      </c>
      <c r="G827" s="3">
        <v>3.5700000000000003E-2</v>
      </c>
      <c r="H827" s="3">
        <v>0.18</v>
      </c>
      <c r="I827" s="3">
        <v>0</v>
      </c>
      <c r="J827" s="3" t="s">
        <v>48</v>
      </c>
      <c r="K827" s="2">
        <v>101</v>
      </c>
      <c r="L827" s="2">
        <v>233</v>
      </c>
      <c r="M827">
        <f t="shared" ca="1" si="12"/>
        <v>0.74238362285064863</v>
      </c>
    </row>
    <row r="828" spans="1:13" x14ac:dyDescent="0.4">
      <c r="A828" t="s">
        <v>1614</v>
      </c>
      <c r="B828" t="s">
        <v>172</v>
      </c>
      <c r="C828" t="s">
        <v>47</v>
      </c>
      <c r="D828" s="2">
        <v>4</v>
      </c>
      <c r="E828" s="2">
        <v>44</v>
      </c>
      <c r="F828" s="3">
        <v>0.73299999999999998</v>
      </c>
      <c r="G828" s="3">
        <v>0.13</v>
      </c>
      <c r="H828" s="3">
        <v>5.8199999999999997E-3</v>
      </c>
      <c r="I828" s="4">
        <v>5.0000000000000002E-5</v>
      </c>
      <c r="J828" s="3" t="s">
        <v>48</v>
      </c>
      <c r="K828" s="2">
        <v>120</v>
      </c>
      <c r="L828" s="2">
        <v>229</v>
      </c>
      <c r="M828">
        <f t="shared" ca="1" si="12"/>
        <v>0.23426329944640334</v>
      </c>
    </row>
    <row r="829" spans="1:13" x14ac:dyDescent="0.4">
      <c r="A829" t="s">
        <v>1615</v>
      </c>
      <c r="B829" t="s">
        <v>1616</v>
      </c>
      <c r="C829" t="s">
        <v>56</v>
      </c>
      <c r="D829" s="2">
        <v>7</v>
      </c>
      <c r="E829" s="2">
        <v>46</v>
      </c>
      <c r="F829" s="3">
        <v>0.83399999999999996</v>
      </c>
      <c r="G829" s="3">
        <v>8.6099999999999996E-2</v>
      </c>
      <c r="H829" s="3">
        <v>2.9499999999999999E-3</v>
      </c>
      <c r="I829" s="3">
        <v>1.24E-2</v>
      </c>
      <c r="J829" s="3" t="s">
        <v>48</v>
      </c>
      <c r="K829" s="2">
        <v>118</v>
      </c>
      <c r="L829" s="2">
        <v>305</v>
      </c>
      <c r="M829">
        <f t="shared" ca="1" si="12"/>
        <v>4.0054779003036778E-2</v>
      </c>
    </row>
    <row r="830" spans="1:13" x14ac:dyDescent="0.4">
      <c r="A830" t="s">
        <v>1617</v>
      </c>
      <c r="B830" t="s">
        <v>1618</v>
      </c>
      <c r="C830" t="s">
        <v>53</v>
      </c>
      <c r="D830" s="2">
        <v>3</v>
      </c>
      <c r="E830" s="2">
        <v>3</v>
      </c>
      <c r="F830" s="3">
        <v>0.66600000000000004</v>
      </c>
      <c r="G830" s="3">
        <v>0.219</v>
      </c>
      <c r="H830" s="3">
        <v>0.66600000000000004</v>
      </c>
      <c r="I830" s="3">
        <v>0</v>
      </c>
      <c r="J830" s="3" t="s">
        <v>48</v>
      </c>
      <c r="K830" s="2">
        <v>116</v>
      </c>
      <c r="L830" s="2">
        <v>154</v>
      </c>
      <c r="M830">
        <f t="shared" ca="1" si="12"/>
        <v>0.43143674865127823</v>
      </c>
    </row>
    <row r="831" spans="1:13" x14ac:dyDescent="0.4">
      <c r="A831" t="s">
        <v>1619</v>
      </c>
      <c r="B831" t="s">
        <v>1620</v>
      </c>
      <c r="C831" t="s">
        <v>56</v>
      </c>
      <c r="D831" s="2">
        <v>4</v>
      </c>
      <c r="E831" s="2">
        <v>8</v>
      </c>
      <c r="F831" s="3">
        <v>0.47399999999999998</v>
      </c>
      <c r="G831" s="3">
        <v>9.5000000000000001E-2</v>
      </c>
      <c r="H831" s="3">
        <v>1.5900000000000001E-2</v>
      </c>
      <c r="I831" s="3">
        <v>1.38E-2</v>
      </c>
      <c r="J831" s="3" t="s">
        <v>48</v>
      </c>
      <c r="K831" s="2">
        <v>130</v>
      </c>
      <c r="L831" s="2">
        <v>213</v>
      </c>
      <c r="M831">
        <f t="shared" ca="1" si="12"/>
        <v>0.29769711420285572</v>
      </c>
    </row>
    <row r="832" spans="1:13" x14ac:dyDescent="0.4">
      <c r="A832" t="s">
        <v>1621</v>
      </c>
      <c r="B832" t="s">
        <v>1622</v>
      </c>
      <c r="C832" t="s">
        <v>66</v>
      </c>
      <c r="D832" s="2">
        <v>6</v>
      </c>
      <c r="E832" s="2">
        <v>1</v>
      </c>
      <c r="F832" s="3">
        <v>0.77700000000000002</v>
      </c>
      <c r="G832" s="3">
        <v>4.3799999999999999E-2</v>
      </c>
      <c r="H832" s="3">
        <v>0.72499999999999998</v>
      </c>
      <c r="I832" s="3">
        <v>0</v>
      </c>
      <c r="J832" s="3" t="s">
        <v>48</v>
      </c>
      <c r="K832" s="2">
        <v>120</v>
      </c>
      <c r="L832" s="2">
        <v>262</v>
      </c>
      <c r="M832">
        <f t="shared" ca="1" si="12"/>
        <v>0.36969474963353721</v>
      </c>
    </row>
    <row r="833" spans="1:13" x14ac:dyDescent="0.4">
      <c r="A833" t="s">
        <v>1623</v>
      </c>
      <c r="B833" t="s">
        <v>517</v>
      </c>
      <c r="C833" t="s">
        <v>84</v>
      </c>
      <c r="D833" s="2">
        <v>7</v>
      </c>
      <c r="E833" s="2">
        <v>35</v>
      </c>
      <c r="F833" s="3">
        <v>0.76700000000000002</v>
      </c>
      <c r="G833" s="3">
        <v>0.17299999999999999</v>
      </c>
      <c r="H833" s="3">
        <v>5.5199999999999999E-2</v>
      </c>
      <c r="I833" s="3">
        <v>3.5200000000000002E-2</v>
      </c>
      <c r="J833" s="3" t="s">
        <v>48</v>
      </c>
      <c r="K833" s="2">
        <v>89</v>
      </c>
      <c r="L833" s="2">
        <v>193</v>
      </c>
      <c r="M833">
        <f t="shared" ca="1" si="12"/>
        <v>0.80122526340886802</v>
      </c>
    </row>
    <row r="834" spans="1:13" x14ac:dyDescent="0.4">
      <c r="A834" t="s">
        <v>1624</v>
      </c>
      <c r="B834" t="s">
        <v>1625</v>
      </c>
      <c r="C834" t="s">
        <v>84</v>
      </c>
      <c r="D834" s="2">
        <v>2</v>
      </c>
      <c r="E834" s="2">
        <v>23</v>
      </c>
      <c r="F834" s="3">
        <v>0.81499999999999995</v>
      </c>
      <c r="G834" s="3">
        <v>6.83E-2</v>
      </c>
      <c r="H834" s="3">
        <v>0.36099999999999999</v>
      </c>
      <c r="I834" s="3">
        <v>0</v>
      </c>
      <c r="J834" s="3" t="s">
        <v>48</v>
      </c>
      <c r="K834" s="2">
        <v>138</v>
      </c>
      <c r="L834" s="2">
        <v>111</v>
      </c>
      <c r="M834">
        <f t="shared" ref="M834:M897" ca="1" si="13">RAND()</f>
        <v>0.2944216448519742</v>
      </c>
    </row>
    <row r="835" spans="1:13" x14ac:dyDescent="0.4">
      <c r="A835" t="s">
        <v>1626</v>
      </c>
      <c r="B835" t="s">
        <v>1627</v>
      </c>
      <c r="C835" t="s">
        <v>84</v>
      </c>
      <c r="D835" s="2">
        <v>2</v>
      </c>
      <c r="E835" s="2">
        <v>4</v>
      </c>
      <c r="F835" s="3">
        <v>0.72899999999999998</v>
      </c>
      <c r="G835" s="3">
        <v>3.3799999999999997E-2</v>
      </c>
      <c r="H835" s="3">
        <v>0.157</v>
      </c>
      <c r="I835" s="3">
        <v>0.90500000000000003</v>
      </c>
      <c r="J835" s="3" t="s">
        <v>67</v>
      </c>
      <c r="K835" s="2">
        <v>92</v>
      </c>
      <c r="L835" s="2">
        <v>146</v>
      </c>
      <c r="M835">
        <f t="shared" ca="1" si="13"/>
        <v>0.20018713586698378</v>
      </c>
    </row>
    <row r="836" spans="1:13" x14ac:dyDescent="0.4">
      <c r="A836" t="s">
        <v>1628</v>
      </c>
      <c r="B836" t="s">
        <v>1629</v>
      </c>
      <c r="C836" t="s">
        <v>66</v>
      </c>
      <c r="D836" s="2">
        <v>1</v>
      </c>
      <c r="E836" s="2">
        <v>59</v>
      </c>
      <c r="F836" s="3">
        <v>0.59299999999999997</v>
      </c>
      <c r="G836" s="3">
        <v>3.6700000000000003E-2</v>
      </c>
      <c r="H836" s="3">
        <v>0.83599999999999997</v>
      </c>
      <c r="I836" s="3">
        <v>0</v>
      </c>
      <c r="J836" s="3" t="s">
        <v>67</v>
      </c>
      <c r="K836" s="2">
        <v>78</v>
      </c>
      <c r="L836" s="2">
        <v>196</v>
      </c>
      <c r="M836">
        <f t="shared" ca="1" si="13"/>
        <v>0.97991780673576345</v>
      </c>
    </row>
    <row r="837" spans="1:13" x14ac:dyDescent="0.4">
      <c r="A837" t="s">
        <v>1630</v>
      </c>
      <c r="B837" t="s">
        <v>1631</v>
      </c>
      <c r="C837" t="s">
        <v>66</v>
      </c>
      <c r="D837" s="2">
        <v>6</v>
      </c>
      <c r="E837" s="2">
        <v>20</v>
      </c>
      <c r="F837" s="3">
        <v>0.47899999999999998</v>
      </c>
      <c r="G837" s="3">
        <v>0.20200000000000001</v>
      </c>
      <c r="H837" s="3">
        <v>7.79E-3</v>
      </c>
      <c r="I837" s="3">
        <v>0</v>
      </c>
      <c r="J837" s="3" t="s">
        <v>48</v>
      </c>
      <c r="K837" s="2">
        <v>132</v>
      </c>
      <c r="L837" s="2">
        <v>230</v>
      </c>
      <c r="M837">
        <f t="shared" ca="1" si="13"/>
        <v>0.48499646718503719</v>
      </c>
    </row>
    <row r="838" spans="1:13" x14ac:dyDescent="0.4">
      <c r="A838" t="s">
        <v>1632</v>
      </c>
      <c r="B838" t="s">
        <v>1633</v>
      </c>
      <c r="C838" t="s">
        <v>47</v>
      </c>
      <c r="D838" s="2">
        <v>3</v>
      </c>
      <c r="E838" s="2">
        <v>53</v>
      </c>
      <c r="F838" s="3">
        <v>0.60499999999999998</v>
      </c>
      <c r="G838" s="3">
        <v>3.44E-2</v>
      </c>
      <c r="H838" s="3">
        <v>4.6100000000000002E-2</v>
      </c>
      <c r="I838" s="4">
        <v>1.9300000000000002E-5</v>
      </c>
      <c r="J838" s="3" t="s">
        <v>48</v>
      </c>
      <c r="K838" s="2">
        <v>89</v>
      </c>
      <c r="L838" s="2">
        <v>221</v>
      </c>
      <c r="M838">
        <f t="shared" ca="1" si="13"/>
        <v>0.45139728402000101</v>
      </c>
    </row>
    <row r="839" spans="1:13" x14ac:dyDescent="0.4">
      <c r="A839" t="s">
        <v>1634</v>
      </c>
      <c r="B839" t="s">
        <v>1635</v>
      </c>
      <c r="C839" t="s">
        <v>66</v>
      </c>
      <c r="D839" s="2">
        <v>26</v>
      </c>
      <c r="E839" s="2">
        <v>31</v>
      </c>
      <c r="F839" s="3">
        <v>0.91100000000000003</v>
      </c>
      <c r="G839" s="3">
        <v>3.9399999999999998E-2</v>
      </c>
      <c r="H839" s="3">
        <v>2.9000000000000001E-2</v>
      </c>
      <c r="I839" s="3">
        <v>1.0499999999999999E-3</v>
      </c>
      <c r="J839" s="3" t="s">
        <v>67</v>
      </c>
      <c r="K839" s="2">
        <v>102</v>
      </c>
      <c r="L839" s="2">
        <v>235</v>
      </c>
      <c r="M839">
        <f t="shared" ca="1" si="13"/>
        <v>1.0073892472252433E-2</v>
      </c>
    </row>
    <row r="840" spans="1:13" x14ac:dyDescent="0.4">
      <c r="A840" t="s">
        <v>1636</v>
      </c>
      <c r="B840" t="s">
        <v>1637</v>
      </c>
      <c r="C840" t="s">
        <v>56</v>
      </c>
      <c r="D840" s="2">
        <v>2</v>
      </c>
      <c r="E840" s="2">
        <v>49</v>
      </c>
      <c r="F840" s="3">
        <v>0.58899999999999997</v>
      </c>
      <c r="G840" s="3">
        <v>0.113</v>
      </c>
      <c r="H840" s="3">
        <v>0.186</v>
      </c>
      <c r="I840" s="3">
        <v>0</v>
      </c>
      <c r="J840" s="3" t="s">
        <v>48</v>
      </c>
      <c r="K840" s="2">
        <v>95</v>
      </c>
      <c r="L840" s="2">
        <v>190</v>
      </c>
      <c r="M840">
        <f t="shared" ca="1" si="13"/>
        <v>0.31473971559691727</v>
      </c>
    </row>
    <row r="841" spans="1:13" x14ac:dyDescent="0.4">
      <c r="A841" t="s">
        <v>1638</v>
      </c>
      <c r="B841" t="s">
        <v>1639</v>
      </c>
      <c r="C841" t="s">
        <v>56</v>
      </c>
      <c r="D841" s="2">
        <v>1</v>
      </c>
      <c r="E841" s="2">
        <v>17</v>
      </c>
      <c r="F841" s="3">
        <v>0.626</v>
      </c>
      <c r="G841" s="3">
        <v>7.2499999999999995E-2</v>
      </c>
      <c r="H841" s="3">
        <v>1.5200000000000001E-3</v>
      </c>
      <c r="I841" s="3">
        <v>0.105</v>
      </c>
      <c r="J841" s="3" t="s">
        <v>48</v>
      </c>
      <c r="K841" s="2">
        <v>126</v>
      </c>
      <c r="L841" s="2">
        <v>131</v>
      </c>
      <c r="M841">
        <f t="shared" ca="1" si="13"/>
        <v>0.54781950128171331</v>
      </c>
    </row>
    <row r="842" spans="1:13" x14ac:dyDescent="0.4">
      <c r="A842" t="s">
        <v>1640</v>
      </c>
      <c r="B842" t="s">
        <v>1641</v>
      </c>
      <c r="C842" t="s">
        <v>53</v>
      </c>
      <c r="D842" s="2">
        <v>35</v>
      </c>
      <c r="E842" s="2">
        <v>51</v>
      </c>
      <c r="F842" s="3">
        <v>0.84399999999999997</v>
      </c>
      <c r="G842" s="3">
        <v>8.77E-2</v>
      </c>
      <c r="H842" s="3">
        <v>4.0500000000000001E-2</v>
      </c>
      <c r="I842" s="3">
        <v>0.13200000000000001</v>
      </c>
      <c r="J842" s="3" t="s">
        <v>48</v>
      </c>
      <c r="K842" s="2">
        <v>115</v>
      </c>
      <c r="L842" s="2">
        <v>404</v>
      </c>
      <c r="M842">
        <f t="shared" ca="1" si="13"/>
        <v>0.88153221417780758</v>
      </c>
    </row>
    <row r="843" spans="1:13" x14ac:dyDescent="0.4">
      <c r="A843" t="s">
        <v>1642</v>
      </c>
      <c r="B843" t="s">
        <v>1643</v>
      </c>
      <c r="C843" t="s">
        <v>53</v>
      </c>
      <c r="D843" s="2">
        <v>2</v>
      </c>
      <c r="E843" s="2">
        <v>30</v>
      </c>
      <c r="F843" s="3">
        <v>0.85699999999999998</v>
      </c>
      <c r="G843" s="3">
        <v>0.13700000000000001</v>
      </c>
      <c r="H843" s="3">
        <v>8.8900000000000007E-2</v>
      </c>
      <c r="I843" s="3">
        <v>0</v>
      </c>
      <c r="J843" s="3" t="s">
        <v>48</v>
      </c>
      <c r="K843" s="2">
        <v>126</v>
      </c>
      <c r="L843" s="2">
        <v>270</v>
      </c>
      <c r="M843">
        <f t="shared" ca="1" si="13"/>
        <v>0.20733203537694078</v>
      </c>
    </row>
    <row r="844" spans="1:13" x14ac:dyDescent="0.4">
      <c r="A844" t="s">
        <v>1644</v>
      </c>
      <c r="B844" t="s">
        <v>1645</v>
      </c>
      <c r="C844" t="s">
        <v>84</v>
      </c>
      <c r="D844" s="2">
        <v>2</v>
      </c>
      <c r="E844" s="2">
        <v>50</v>
      </c>
      <c r="F844" s="3">
        <v>0.755</v>
      </c>
      <c r="G844" s="3">
        <v>0.106</v>
      </c>
      <c r="H844" s="3">
        <v>0.122</v>
      </c>
      <c r="I844" s="4">
        <v>3.77E-4</v>
      </c>
      <c r="J844" s="3" t="s">
        <v>48</v>
      </c>
      <c r="K844" s="2">
        <v>137</v>
      </c>
      <c r="L844" s="2">
        <v>201</v>
      </c>
      <c r="M844">
        <f t="shared" ca="1" si="13"/>
        <v>0.43660486814947741</v>
      </c>
    </row>
    <row r="845" spans="1:13" x14ac:dyDescent="0.4">
      <c r="A845" t="s">
        <v>1646</v>
      </c>
      <c r="B845" t="s">
        <v>1635</v>
      </c>
      <c r="C845" t="s">
        <v>66</v>
      </c>
      <c r="D845" s="2">
        <v>26</v>
      </c>
      <c r="E845" s="2">
        <v>54</v>
      </c>
      <c r="F845" s="3">
        <v>0.71299999999999997</v>
      </c>
      <c r="G845" s="3">
        <v>5.7500000000000002E-2</v>
      </c>
      <c r="H845" s="3">
        <v>3.2300000000000002E-2</v>
      </c>
      <c r="I845" s="3">
        <v>0.16700000000000001</v>
      </c>
      <c r="J845" s="3" t="s">
        <v>48</v>
      </c>
      <c r="K845" s="2">
        <v>95</v>
      </c>
      <c r="L845" s="2">
        <v>221</v>
      </c>
      <c r="M845">
        <f t="shared" ca="1" si="13"/>
        <v>0.95569349981763463</v>
      </c>
    </row>
    <row r="846" spans="1:13" x14ac:dyDescent="0.4">
      <c r="A846" t="s">
        <v>1647</v>
      </c>
      <c r="B846" t="s">
        <v>1648</v>
      </c>
      <c r="C846" t="s">
        <v>47</v>
      </c>
      <c r="D846" s="2">
        <v>8</v>
      </c>
      <c r="E846" s="2">
        <v>60</v>
      </c>
      <c r="F846" s="3">
        <v>0.64700000000000002</v>
      </c>
      <c r="G846" s="3">
        <v>2.7900000000000001E-2</v>
      </c>
      <c r="H846" s="3">
        <v>1.0999999999999999E-2</v>
      </c>
      <c r="I846" s="4">
        <v>2.4899999999999998E-4</v>
      </c>
      <c r="J846" s="3" t="s">
        <v>48</v>
      </c>
      <c r="K846" s="2">
        <v>97</v>
      </c>
      <c r="L846" s="2">
        <v>188</v>
      </c>
      <c r="M846">
        <f t="shared" ca="1" si="13"/>
        <v>0.22401349924929503</v>
      </c>
    </row>
    <row r="847" spans="1:13" x14ac:dyDescent="0.4">
      <c r="A847" t="s">
        <v>1649</v>
      </c>
      <c r="B847" t="s">
        <v>1650</v>
      </c>
      <c r="C847" t="s">
        <v>56</v>
      </c>
      <c r="D847" s="2">
        <v>4</v>
      </c>
      <c r="E847" s="2">
        <v>40</v>
      </c>
      <c r="F847" s="3">
        <v>0.55600000000000005</v>
      </c>
      <c r="G847" s="3">
        <v>6.2799999999999995E-2</v>
      </c>
      <c r="H847" s="3">
        <v>8.8100000000000001E-3</v>
      </c>
      <c r="I847" s="3">
        <v>0.69199999999999995</v>
      </c>
      <c r="J847" s="3" t="s">
        <v>48</v>
      </c>
      <c r="K847" s="2">
        <v>150</v>
      </c>
      <c r="L847" s="2">
        <v>213</v>
      </c>
      <c r="M847">
        <f t="shared" ca="1" si="13"/>
        <v>0.80467081968994325</v>
      </c>
    </row>
    <row r="848" spans="1:13" x14ac:dyDescent="0.4">
      <c r="A848" t="s">
        <v>1651</v>
      </c>
      <c r="B848" t="s">
        <v>1652</v>
      </c>
      <c r="C848" t="s">
        <v>47</v>
      </c>
      <c r="D848" s="2">
        <v>3</v>
      </c>
      <c r="E848" s="2">
        <v>32</v>
      </c>
      <c r="F848" s="3">
        <v>0.58099999999999996</v>
      </c>
      <c r="G848" s="3">
        <v>4.9299999999999997E-2</v>
      </c>
      <c r="H848" s="3">
        <v>9.7699999999999995E-2</v>
      </c>
      <c r="I848" s="4">
        <v>3.4799999999999999E-5</v>
      </c>
      <c r="J848" s="3" t="s">
        <v>48</v>
      </c>
      <c r="K848" s="2">
        <v>100</v>
      </c>
      <c r="L848" s="2">
        <v>217</v>
      </c>
      <c r="M848">
        <f t="shared" ca="1" si="13"/>
        <v>0.42936627802330829</v>
      </c>
    </row>
    <row r="849" spans="1:13" x14ac:dyDescent="0.4">
      <c r="A849" t="s">
        <v>1653</v>
      </c>
      <c r="B849" t="s">
        <v>535</v>
      </c>
      <c r="C849" t="s">
        <v>61</v>
      </c>
      <c r="D849" s="2">
        <v>1</v>
      </c>
      <c r="E849" s="2">
        <v>48</v>
      </c>
      <c r="F849" s="3">
        <v>0.42199999999999999</v>
      </c>
      <c r="G849" s="3">
        <v>5.3499999999999999E-2</v>
      </c>
      <c r="H849" s="4">
        <v>8.9499999999999994E-5</v>
      </c>
      <c r="I849" s="3">
        <v>4.5400000000000003E-2</v>
      </c>
      <c r="J849" s="3" t="s">
        <v>48</v>
      </c>
      <c r="K849" s="2">
        <v>142</v>
      </c>
      <c r="L849" s="2">
        <v>232</v>
      </c>
      <c r="M849">
        <f t="shared" ca="1" si="13"/>
        <v>0.21520421656360278</v>
      </c>
    </row>
    <row r="850" spans="1:13" x14ac:dyDescent="0.4">
      <c r="A850" t="s">
        <v>1654</v>
      </c>
      <c r="B850" t="s">
        <v>1509</v>
      </c>
      <c r="C850" t="s">
        <v>53</v>
      </c>
      <c r="D850" s="2">
        <v>1</v>
      </c>
      <c r="E850" s="2">
        <v>43</v>
      </c>
      <c r="F850" s="3">
        <v>0.628</v>
      </c>
      <c r="G850" s="3">
        <v>6.6500000000000004E-2</v>
      </c>
      <c r="H850" s="3">
        <v>0.66600000000000004</v>
      </c>
      <c r="I850" s="4">
        <v>2.5500000000000001E-6</v>
      </c>
      <c r="J850" s="3" t="s">
        <v>48</v>
      </c>
      <c r="K850" s="2">
        <v>190</v>
      </c>
      <c r="L850" s="2">
        <v>266</v>
      </c>
      <c r="M850">
        <f t="shared" ca="1" si="13"/>
        <v>0.97241561954229472</v>
      </c>
    </row>
    <row r="851" spans="1:13" x14ac:dyDescent="0.4">
      <c r="A851" t="s">
        <v>1655</v>
      </c>
      <c r="B851" t="s">
        <v>1656</v>
      </c>
      <c r="C851" t="s">
        <v>84</v>
      </c>
      <c r="D851" s="2">
        <v>26</v>
      </c>
      <c r="E851" s="2">
        <v>56</v>
      </c>
      <c r="F851" s="3">
        <v>0.65100000000000002</v>
      </c>
      <c r="G851" s="3">
        <v>0.312</v>
      </c>
      <c r="H851" s="3">
        <v>0.109</v>
      </c>
      <c r="I851" s="4">
        <v>1.1E-5</v>
      </c>
      <c r="J851" s="3" t="s">
        <v>48</v>
      </c>
      <c r="K851" s="2">
        <v>166</v>
      </c>
      <c r="L851" s="2">
        <v>244</v>
      </c>
      <c r="M851">
        <f t="shared" ca="1" si="13"/>
        <v>0.69289674952905378</v>
      </c>
    </row>
    <row r="852" spans="1:13" x14ac:dyDescent="0.4">
      <c r="A852" t="s">
        <v>1657</v>
      </c>
      <c r="B852" t="s">
        <v>1658</v>
      </c>
      <c r="C852" t="s">
        <v>84</v>
      </c>
      <c r="D852" s="2">
        <v>1</v>
      </c>
      <c r="E852" s="2">
        <v>17</v>
      </c>
      <c r="F852" s="3">
        <v>0.61299999999999999</v>
      </c>
      <c r="G852" s="3">
        <v>0.10100000000000001</v>
      </c>
      <c r="H852" s="3">
        <v>0.747</v>
      </c>
      <c r="I852" s="3">
        <v>0.78300000000000003</v>
      </c>
      <c r="J852" s="3" t="s">
        <v>67</v>
      </c>
      <c r="K852" s="2">
        <v>80</v>
      </c>
      <c r="L852" s="2">
        <v>150</v>
      </c>
      <c r="M852">
        <f t="shared" ca="1" si="13"/>
        <v>0.69170523057235866</v>
      </c>
    </row>
    <row r="853" spans="1:13" x14ac:dyDescent="0.4">
      <c r="A853" t="s">
        <v>1659</v>
      </c>
      <c r="B853" t="s">
        <v>1660</v>
      </c>
      <c r="C853" t="s">
        <v>56</v>
      </c>
      <c r="D853" s="2">
        <v>1</v>
      </c>
      <c r="E853" s="2">
        <v>19</v>
      </c>
      <c r="F853" s="3">
        <v>0.73399999999999999</v>
      </c>
      <c r="G853" s="3">
        <v>0.185</v>
      </c>
      <c r="H853" s="3">
        <v>0.28000000000000003</v>
      </c>
      <c r="I853" s="3">
        <v>0</v>
      </c>
      <c r="J853" s="3" t="s">
        <v>48</v>
      </c>
      <c r="K853" s="2">
        <v>102</v>
      </c>
      <c r="L853" s="2">
        <v>184</v>
      </c>
      <c r="M853">
        <f t="shared" ca="1" si="13"/>
        <v>0.38224401311738732</v>
      </c>
    </row>
    <row r="854" spans="1:13" x14ac:dyDescent="0.4">
      <c r="A854" t="s">
        <v>1661</v>
      </c>
      <c r="B854" t="s">
        <v>566</v>
      </c>
      <c r="C854" t="s">
        <v>53</v>
      </c>
      <c r="D854" s="2">
        <v>10</v>
      </c>
      <c r="E854" s="2">
        <v>48</v>
      </c>
      <c r="F854" s="3">
        <v>0.71</v>
      </c>
      <c r="G854" s="3">
        <v>3.7199999999999997E-2</v>
      </c>
      <c r="H854" s="3">
        <v>0.17499999999999999</v>
      </c>
      <c r="I854" s="3">
        <v>0</v>
      </c>
      <c r="J854" s="3" t="s">
        <v>48</v>
      </c>
      <c r="K854" s="2">
        <v>138</v>
      </c>
      <c r="L854" s="2">
        <v>258</v>
      </c>
      <c r="M854">
        <f t="shared" ca="1" si="13"/>
        <v>0.4404145380554092</v>
      </c>
    </row>
    <row r="855" spans="1:13" x14ac:dyDescent="0.4">
      <c r="A855" t="s">
        <v>1662</v>
      </c>
      <c r="B855" t="s">
        <v>1663</v>
      </c>
      <c r="C855" t="s">
        <v>47</v>
      </c>
      <c r="D855" s="2">
        <v>8</v>
      </c>
      <c r="E855" s="2">
        <v>11</v>
      </c>
      <c r="F855" s="3">
        <v>0.58399999999999996</v>
      </c>
      <c r="G855" s="3">
        <v>3.6299999999999999E-2</v>
      </c>
      <c r="H855" s="3">
        <v>8.9099999999999999E-2</v>
      </c>
      <c r="I855" s="4">
        <v>9.8999999999999994E-5</v>
      </c>
      <c r="J855" s="3" t="s">
        <v>48</v>
      </c>
      <c r="K855" s="2">
        <v>103</v>
      </c>
      <c r="L855" s="2">
        <v>326</v>
      </c>
      <c r="M855">
        <f t="shared" ca="1" si="13"/>
        <v>0.385461721949655</v>
      </c>
    </row>
    <row r="856" spans="1:13" x14ac:dyDescent="0.4">
      <c r="A856" t="s">
        <v>1664</v>
      </c>
      <c r="B856" t="s">
        <v>1665</v>
      </c>
      <c r="C856" t="s">
        <v>47</v>
      </c>
      <c r="D856" s="2">
        <v>0</v>
      </c>
      <c r="E856" s="2">
        <v>49</v>
      </c>
      <c r="F856" s="3">
        <v>0.72699999999999998</v>
      </c>
      <c r="G856" s="3">
        <v>3.2199999999999999E-2</v>
      </c>
      <c r="H856" s="3">
        <v>0.22500000000000001</v>
      </c>
      <c r="I856" s="3">
        <v>0</v>
      </c>
      <c r="J856" s="3" t="s">
        <v>48</v>
      </c>
      <c r="K856" s="2">
        <v>122</v>
      </c>
      <c r="L856" s="2">
        <v>178</v>
      </c>
      <c r="M856">
        <f t="shared" ca="1" si="13"/>
        <v>0.26018423181738615</v>
      </c>
    </row>
    <row r="857" spans="1:13" x14ac:dyDescent="0.4">
      <c r="A857" t="s">
        <v>1666</v>
      </c>
      <c r="B857" t="s">
        <v>1667</v>
      </c>
      <c r="C857" t="s">
        <v>56</v>
      </c>
      <c r="D857" s="2">
        <v>6</v>
      </c>
      <c r="E857" s="2">
        <v>14</v>
      </c>
      <c r="F857" s="3">
        <v>0.60599999999999998</v>
      </c>
      <c r="G857" s="3">
        <v>2.81E-2</v>
      </c>
      <c r="H857" s="3">
        <v>0.309</v>
      </c>
      <c r="I857" s="3">
        <v>0.59599999999999997</v>
      </c>
      <c r="J857" s="3" t="s">
        <v>48</v>
      </c>
      <c r="K857" s="2">
        <v>98</v>
      </c>
      <c r="L857" s="2">
        <v>476</v>
      </c>
      <c r="M857">
        <f t="shared" ca="1" si="13"/>
        <v>0.67763855394458739</v>
      </c>
    </row>
    <row r="858" spans="1:13" x14ac:dyDescent="0.4">
      <c r="A858" t="s">
        <v>1668</v>
      </c>
      <c r="B858" t="s">
        <v>1669</v>
      </c>
      <c r="C858" t="s">
        <v>47</v>
      </c>
      <c r="D858" s="2">
        <v>3</v>
      </c>
      <c r="E858" s="2">
        <v>57</v>
      </c>
      <c r="F858" s="3">
        <v>0.57199999999999995</v>
      </c>
      <c r="G858" s="3">
        <v>4.0599999999999997E-2</v>
      </c>
      <c r="H858" s="3">
        <v>7.5399999999999995E-2</v>
      </c>
      <c r="I858" s="3">
        <v>0</v>
      </c>
      <c r="J858" s="3" t="s">
        <v>48</v>
      </c>
      <c r="K858" s="2">
        <v>90</v>
      </c>
      <c r="L858" s="2">
        <v>157</v>
      </c>
      <c r="M858">
        <f t="shared" ca="1" si="13"/>
        <v>0.94185729003910246</v>
      </c>
    </row>
    <row r="859" spans="1:13" x14ac:dyDescent="0.4">
      <c r="A859" t="s">
        <v>1670</v>
      </c>
      <c r="B859" t="s">
        <v>1671</v>
      </c>
      <c r="C859" t="s">
        <v>61</v>
      </c>
      <c r="D859" s="2">
        <v>3</v>
      </c>
      <c r="E859" s="2">
        <v>37</v>
      </c>
      <c r="F859" s="3">
        <v>0.54900000000000004</v>
      </c>
      <c r="G859" s="3">
        <v>2.3900000000000001E-2</v>
      </c>
      <c r="H859" s="3">
        <v>0.113</v>
      </c>
      <c r="I859" s="3">
        <v>0.255</v>
      </c>
      <c r="J859" s="3" t="s">
        <v>48</v>
      </c>
      <c r="K859" s="2">
        <v>88</v>
      </c>
      <c r="L859" s="2">
        <v>201</v>
      </c>
      <c r="M859">
        <f t="shared" ca="1" si="13"/>
        <v>0.43271168260718318</v>
      </c>
    </row>
    <row r="860" spans="1:13" x14ac:dyDescent="0.4">
      <c r="A860" t="s">
        <v>1672</v>
      </c>
      <c r="B860" t="s">
        <v>212</v>
      </c>
      <c r="C860" t="s">
        <v>47</v>
      </c>
      <c r="D860" s="2">
        <v>20</v>
      </c>
      <c r="E860" s="2">
        <v>81</v>
      </c>
      <c r="F860" s="3">
        <v>0.42899999999999999</v>
      </c>
      <c r="G860" s="3">
        <v>2.81E-2</v>
      </c>
      <c r="H860" s="3">
        <v>2.3900000000000002E-3</v>
      </c>
      <c r="I860" s="4">
        <v>1.2999999999999999E-4</v>
      </c>
      <c r="J860" s="3" t="s">
        <v>48</v>
      </c>
      <c r="K860" s="2">
        <v>173</v>
      </c>
      <c r="L860" s="2">
        <v>267</v>
      </c>
      <c r="M860">
        <f t="shared" ca="1" si="13"/>
        <v>0.43403108808316471</v>
      </c>
    </row>
    <row r="861" spans="1:13" x14ac:dyDescent="0.4">
      <c r="A861" t="s">
        <v>1673</v>
      </c>
      <c r="B861" t="s">
        <v>1674</v>
      </c>
      <c r="C861" t="s">
        <v>66</v>
      </c>
      <c r="D861" s="2">
        <v>1</v>
      </c>
      <c r="E861" s="2">
        <v>62</v>
      </c>
      <c r="F861" s="3">
        <v>0.36</v>
      </c>
      <c r="G861" s="3">
        <v>3.7999999999999999E-2</v>
      </c>
      <c r="H861" s="3">
        <v>0.93</v>
      </c>
      <c r="I861" s="4">
        <v>9.6199999999999994E-6</v>
      </c>
      <c r="J861" s="3" t="s">
        <v>67</v>
      </c>
      <c r="K861" s="2">
        <v>136</v>
      </c>
      <c r="L861" s="2">
        <v>198</v>
      </c>
      <c r="M861">
        <f t="shared" ca="1" si="13"/>
        <v>0.93876550373415923</v>
      </c>
    </row>
    <row r="862" spans="1:13" x14ac:dyDescent="0.4">
      <c r="A862" t="s">
        <v>1675</v>
      </c>
      <c r="B862" t="s">
        <v>1199</v>
      </c>
      <c r="C862" t="s">
        <v>56</v>
      </c>
      <c r="D862" s="2">
        <v>5</v>
      </c>
      <c r="E862" s="2">
        <v>55</v>
      </c>
      <c r="F862" s="3">
        <v>0.63400000000000001</v>
      </c>
      <c r="G862" s="3">
        <v>3.3099999999999997E-2</v>
      </c>
      <c r="H862" s="3">
        <v>1.6799999999999999E-2</v>
      </c>
      <c r="I862" s="3">
        <v>1.15E-3</v>
      </c>
      <c r="J862" s="3" t="s">
        <v>67</v>
      </c>
      <c r="K862" s="2">
        <v>128</v>
      </c>
      <c r="L862" s="2">
        <v>278</v>
      </c>
      <c r="M862">
        <f t="shared" ca="1" si="13"/>
        <v>0.54138186075526484</v>
      </c>
    </row>
    <row r="863" spans="1:13" x14ac:dyDescent="0.4">
      <c r="A863" t="s">
        <v>1676</v>
      </c>
      <c r="B863" t="s">
        <v>83</v>
      </c>
      <c r="C863" t="s">
        <v>84</v>
      </c>
      <c r="D863" s="2">
        <v>20</v>
      </c>
      <c r="E863" s="2">
        <v>13</v>
      </c>
      <c r="F863" s="3">
        <v>0.81599999999999995</v>
      </c>
      <c r="G863" s="3">
        <v>0.184</v>
      </c>
      <c r="H863" s="3">
        <v>0.217</v>
      </c>
      <c r="I863" s="3">
        <v>0</v>
      </c>
      <c r="J863" s="3" t="s">
        <v>48</v>
      </c>
      <c r="K863" s="2">
        <v>143</v>
      </c>
      <c r="L863" s="2">
        <v>300</v>
      </c>
      <c r="M863">
        <f t="shared" ca="1" si="13"/>
        <v>0.97198761478130968</v>
      </c>
    </row>
    <row r="864" spans="1:13" x14ac:dyDescent="0.4">
      <c r="A864" t="s">
        <v>1677</v>
      </c>
      <c r="B864" t="s">
        <v>260</v>
      </c>
      <c r="C864" t="s">
        <v>47</v>
      </c>
      <c r="D864" s="2">
        <v>1</v>
      </c>
      <c r="E864" s="2">
        <v>80</v>
      </c>
      <c r="F864" s="3">
        <v>0.73299999999999998</v>
      </c>
      <c r="G864" s="3">
        <v>3.3000000000000002E-2</v>
      </c>
      <c r="H864" s="3">
        <v>0.47899999999999998</v>
      </c>
      <c r="I864" s="3">
        <v>6.4500000000000002E-2</v>
      </c>
      <c r="J864" s="3" t="s">
        <v>48</v>
      </c>
      <c r="K864" s="2">
        <v>125</v>
      </c>
      <c r="L864" s="2">
        <v>148</v>
      </c>
      <c r="M864">
        <f t="shared" ca="1" si="13"/>
        <v>0.99092975759653157</v>
      </c>
    </row>
    <row r="865" spans="1:13" x14ac:dyDescent="0.4">
      <c r="A865" t="s">
        <v>1678</v>
      </c>
      <c r="B865" t="s">
        <v>1679</v>
      </c>
      <c r="C865" t="s">
        <v>47</v>
      </c>
      <c r="D865" s="2">
        <v>1</v>
      </c>
      <c r="E865" s="2">
        <v>26</v>
      </c>
      <c r="F865" s="3">
        <v>0.77200000000000002</v>
      </c>
      <c r="G865" s="3">
        <v>0.128</v>
      </c>
      <c r="H865" s="3">
        <v>0.18</v>
      </c>
      <c r="I865" s="3">
        <v>0</v>
      </c>
      <c r="J865" s="3" t="s">
        <v>48</v>
      </c>
      <c r="K865" s="2">
        <v>103</v>
      </c>
      <c r="L865" s="2">
        <v>168</v>
      </c>
      <c r="M865">
        <f t="shared" ca="1" si="13"/>
        <v>0.84083856105288557</v>
      </c>
    </row>
    <row r="866" spans="1:13" x14ac:dyDescent="0.4">
      <c r="A866" t="s">
        <v>1680</v>
      </c>
      <c r="B866" t="s">
        <v>1681</v>
      </c>
      <c r="C866" t="s">
        <v>47</v>
      </c>
      <c r="D866" s="2">
        <v>10</v>
      </c>
      <c r="E866" s="2">
        <v>32</v>
      </c>
      <c r="F866" s="3">
        <v>0.85499999999999998</v>
      </c>
      <c r="G866" s="3">
        <v>3.56E-2</v>
      </c>
      <c r="H866" s="3">
        <v>1.4800000000000001E-2</v>
      </c>
      <c r="I866" s="3">
        <v>0.10199999999999999</v>
      </c>
      <c r="J866" s="3" t="s">
        <v>48</v>
      </c>
      <c r="K866" s="2">
        <v>105</v>
      </c>
      <c r="L866" s="2">
        <v>185</v>
      </c>
      <c r="M866">
        <f t="shared" ca="1" si="13"/>
        <v>0.82526372811732795</v>
      </c>
    </row>
    <row r="867" spans="1:13" x14ac:dyDescent="0.4">
      <c r="A867" t="s">
        <v>1682</v>
      </c>
      <c r="B867" t="s">
        <v>1683</v>
      </c>
      <c r="C867" t="s">
        <v>61</v>
      </c>
      <c r="D867" s="2">
        <v>44</v>
      </c>
      <c r="E867" s="2">
        <v>64</v>
      </c>
      <c r="F867" s="3">
        <v>0.69499999999999995</v>
      </c>
      <c r="G867" s="3">
        <v>6.5100000000000005E-2</v>
      </c>
      <c r="H867" s="3">
        <v>0.29699999999999999</v>
      </c>
      <c r="I867" s="3">
        <v>0</v>
      </c>
      <c r="J867" s="3" t="s">
        <v>48</v>
      </c>
      <c r="K867" s="2">
        <v>122</v>
      </c>
      <c r="L867" s="2">
        <v>187</v>
      </c>
      <c r="M867">
        <f t="shared" ca="1" si="13"/>
        <v>0.13051202469474077</v>
      </c>
    </row>
    <row r="868" spans="1:13" x14ac:dyDescent="0.4">
      <c r="A868" t="s">
        <v>1684</v>
      </c>
      <c r="B868" t="s">
        <v>1685</v>
      </c>
      <c r="C868" t="s">
        <v>66</v>
      </c>
      <c r="D868" s="2">
        <v>1</v>
      </c>
      <c r="E868" s="2">
        <v>40</v>
      </c>
      <c r="F868" s="3">
        <v>0.86699999999999999</v>
      </c>
      <c r="G868" s="3">
        <v>0.245</v>
      </c>
      <c r="H868" s="3">
        <v>0.11799999999999999</v>
      </c>
      <c r="I868" s="3">
        <v>0</v>
      </c>
      <c r="J868" s="3" t="s">
        <v>48</v>
      </c>
      <c r="K868" s="2">
        <v>135</v>
      </c>
      <c r="L868" s="2">
        <v>200</v>
      </c>
      <c r="M868">
        <f t="shared" ca="1" si="13"/>
        <v>0.78665707468642243</v>
      </c>
    </row>
    <row r="869" spans="1:13" x14ac:dyDescent="0.4">
      <c r="A869" t="s">
        <v>1686</v>
      </c>
      <c r="B869" t="s">
        <v>1687</v>
      </c>
      <c r="C869" t="s">
        <v>53</v>
      </c>
      <c r="D869" s="2">
        <v>14</v>
      </c>
      <c r="E869" s="2">
        <v>43</v>
      </c>
      <c r="F869" s="3">
        <v>0.88600000000000001</v>
      </c>
      <c r="G869" s="3">
        <v>0.30299999999999999</v>
      </c>
      <c r="H869" s="3">
        <v>0.40699999999999997</v>
      </c>
      <c r="I869" s="4">
        <v>1.22E-4</v>
      </c>
      <c r="J869" s="3" t="s">
        <v>48</v>
      </c>
      <c r="K869" s="2">
        <v>95</v>
      </c>
      <c r="L869" s="2">
        <v>174</v>
      </c>
      <c r="M869">
        <f t="shared" ca="1" si="13"/>
        <v>0.56952749992926754</v>
      </c>
    </row>
    <row r="870" spans="1:13" x14ac:dyDescent="0.4">
      <c r="A870" t="s">
        <v>1688</v>
      </c>
      <c r="B870" t="s">
        <v>58</v>
      </c>
      <c r="C870" t="s">
        <v>53</v>
      </c>
      <c r="D870" s="2">
        <v>11</v>
      </c>
      <c r="E870" s="2">
        <v>57</v>
      </c>
      <c r="F870" s="3">
        <v>0.78300000000000003</v>
      </c>
      <c r="G870" s="3">
        <v>4.8500000000000001E-2</v>
      </c>
      <c r="H870" s="3">
        <v>0.185</v>
      </c>
      <c r="I870" s="3">
        <v>0</v>
      </c>
      <c r="J870" s="3" t="s">
        <v>48</v>
      </c>
      <c r="K870" s="2">
        <v>114</v>
      </c>
      <c r="L870" s="2">
        <v>243</v>
      </c>
      <c r="M870">
        <f t="shared" ca="1" si="13"/>
        <v>7.5902368475400106E-2</v>
      </c>
    </row>
    <row r="871" spans="1:13" x14ac:dyDescent="0.4">
      <c r="A871" t="s">
        <v>1689</v>
      </c>
      <c r="B871" t="s">
        <v>1201</v>
      </c>
      <c r="C871" t="s">
        <v>66</v>
      </c>
      <c r="D871" s="2">
        <v>32</v>
      </c>
      <c r="E871" s="2">
        <v>11</v>
      </c>
      <c r="F871" s="3">
        <v>0.79100000000000004</v>
      </c>
      <c r="G871" s="3">
        <v>9.1600000000000001E-2</v>
      </c>
      <c r="H871" s="3">
        <v>2.0299999999999999E-2</v>
      </c>
      <c r="I871" s="3">
        <v>0.14699999999999999</v>
      </c>
      <c r="J871" s="3" t="s">
        <v>48</v>
      </c>
      <c r="K871" s="2">
        <v>105</v>
      </c>
      <c r="L871" s="2">
        <v>330</v>
      </c>
      <c r="M871">
        <f t="shared" ca="1" si="13"/>
        <v>0.78611843778851009</v>
      </c>
    </row>
    <row r="872" spans="1:13" x14ac:dyDescent="0.4">
      <c r="A872" t="s">
        <v>1690</v>
      </c>
      <c r="B872" t="s">
        <v>1691</v>
      </c>
      <c r="C872" t="s">
        <v>66</v>
      </c>
      <c r="D872" s="2">
        <v>21</v>
      </c>
      <c r="E872" s="2">
        <v>44</v>
      </c>
      <c r="F872" s="3">
        <v>0.83</v>
      </c>
      <c r="G872" s="3">
        <v>0.19700000000000001</v>
      </c>
      <c r="H872" s="3">
        <v>0.24299999999999999</v>
      </c>
      <c r="I872" s="3">
        <v>0</v>
      </c>
      <c r="J872" s="3" t="s">
        <v>67</v>
      </c>
      <c r="K872" s="2">
        <v>99</v>
      </c>
      <c r="L872" s="2">
        <v>366</v>
      </c>
      <c r="M872">
        <f t="shared" ca="1" si="13"/>
        <v>1.1125621146825471E-2</v>
      </c>
    </row>
    <row r="873" spans="1:13" x14ac:dyDescent="0.4">
      <c r="A873" t="s">
        <v>1692</v>
      </c>
      <c r="B873" t="s">
        <v>1693</v>
      </c>
      <c r="C873" t="s">
        <v>47</v>
      </c>
      <c r="D873" s="2">
        <v>11</v>
      </c>
      <c r="E873" s="2">
        <v>69</v>
      </c>
      <c r="F873" s="3">
        <v>0.83899999999999997</v>
      </c>
      <c r="G873" s="3">
        <v>3.2899999999999999E-2</v>
      </c>
      <c r="H873" s="3">
        <v>1.9199999999999998E-2</v>
      </c>
      <c r="I873" s="3">
        <v>0</v>
      </c>
      <c r="J873" s="3" t="s">
        <v>48</v>
      </c>
      <c r="K873" s="2">
        <v>123</v>
      </c>
      <c r="L873" s="2">
        <v>240</v>
      </c>
      <c r="M873">
        <f t="shared" ca="1" si="13"/>
        <v>6.6268758473527867E-2</v>
      </c>
    </row>
    <row r="874" spans="1:13" x14ac:dyDescent="0.4">
      <c r="A874" t="s">
        <v>1694</v>
      </c>
      <c r="B874" t="s">
        <v>1695</v>
      </c>
      <c r="C874" t="s">
        <v>66</v>
      </c>
      <c r="D874" s="2">
        <v>4</v>
      </c>
      <c r="E874" s="2">
        <v>57</v>
      </c>
      <c r="F874" s="3">
        <v>0.432</v>
      </c>
      <c r="G874" s="3">
        <v>0.32</v>
      </c>
      <c r="H874" s="3">
        <v>2.1099999999999999E-3</v>
      </c>
      <c r="I874" s="3">
        <v>0</v>
      </c>
      <c r="J874" s="3" t="s">
        <v>48</v>
      </c>
      <c r="K874" s="2">
        <v>77</v>
      </c>
      <c r="L874" s="2">
        <v>271</v>
      </c>
      <c r="M874">
        <f t="shared" ca="1" si="13"/>
        <v>0.86372811099873692</v>
      </c>
    </row>
    <row r="875" spans="1:13" x14ac:dyDescent="0.4">
      <c r="A875" t="s">
        <v>1696</v>
      </c>
      <c r="B875" t="s">
        <v>1697</v>
      </c>
      <c r="C875" t="s">
        <v>53</v>
      </c>
      <c r="D875" s="2">
        <v>7</v>
      </c>
      <c r="E875" s="2">
        <v>40</v>
      </c>
      <c r="F875" s="3">
        <v>0.72599999999999998</v>
      </c>
      <c r="G875" s="3">
        <v>3.2599999999999997E-2</v>
      </c>
      <c r="H875" s="3">
        <v>0.104</v>
      </c>
      <c r="I875" s="3">
        <v>0</v>
      </c>
      <c r="J875" s="3" t="s">
        <v>48</v>
      </c>
      <c r="K875" s="2">
        <v>92</v>
      </c>
      <c r="L875" s="2">
        <v>208</v>
      </c>
      <c r="M875">
        <f t="shared" ca="1" si="13"/>
        <v>0.61003187896886635</v>
      </c>
    </row>
    <row r="876" spans="1:13" x14ac:dyDescent="0.4">
      <c r="A876" t="s">
        <v>1698</v>
      </c>
      <c r="B876" t="s">
        <v>1699</v>
      </c>
      <c r="C876" t="s">
        <v>84</v>
      </c>
      <c r="D876" s="2">
        <v>0</v>
      </c>
      <c r="E876" s="2">
        <v>43</v>
      </c>
      <c r="F876" s="3">
        <v>0.78400000000000003</v>
      </c>
      <c r="G876" s="3">
        <v>0.53600000000000003</v>
      </c>
      <c r="H876" s="3">
        <v>0.879</v>
      </c>
      <c r="I876" s="3">
        <v>0.82599999999999996</v>
      </c>
      <c r="J876" s="3" t="s">
        <v>67</v>
      </c>
      <c r="K876" s="2">
        <v>180</v>
      </c>
      <c r="L876" s="2">
        <v>177</v>
      </c>
      <c r="M876">
        <f t="shared" ca="1" si="13"/>
        <v>0.72547686995922955</v>
      </c>
    </row>
    <row r="877" spans="1:13" x14ac:dyDescent="0.4">
      <c r="A877" t="s">
        <v>1700</v>
      </c>
      <c r="B877" t="s">
        <v>602</v>
      </c>
      <c r="C877" t="s">
        <v>61</v>
      </c>
      <c r="D877" s="2">
        <v>17</v>
      </c>
      <c r="E877" s="2">
        <v>42</v>
      </c>
      <c r="F877" s="3">
        <v>0.63600000000000001</v>
      </c>
      <c r="G877" s="3">
        <v>3.2599999999999997E-2</v>
      </c>
      <c r="H877" s="3">
        <v>7.8700000000000006E-2</v>
      </c>
      <c r="I877" s="3">
        <v>0.122</v>
      </c>
      <c r="J877" s="3" t="s">
        <v>48</v>
      </c>
      <c r="K877" s="2">
        <v>120</v>
      </c>
      <c r="L877" s="2">
        <v>270</v>
      </c>
      <c r="M877">
        <f t="shared" ca="1" si="13"/>
        <v>0.71823189442667901</v>
      </c>
    </row>
    <row r="878" spans="1:13" x14ac:dyDescent="0.4">
      <c r="A878" t="s">
        <v>1701</v>
      </c>
      <c r="B878" t="s">
        <v>1570</v>
      </c>
      <c r="C878" t="s">
        <v>66</v>
      </c>
      <c r="D878" s="2">
        <v>30</v>
      </c>
      <c r="E878" s="2">
        <v>45</v>
      </c>
      <c r="F878" s="3">
        <v>0.78700000000000003</v>
      </c>
      <c r="G878" s="3">
        <v>5.62E-2</v>
      </c>
      <c r="H878" s="3">
        <v>0.17799999999999999</v>
      </c>
      <c r="I878" s="3">
        <v>0</v>
      </c>
      <c r="J878" s="3" t="s">
        <v>48</v>
      </c>
      <c r="K878" s="2">
        <v>101</v>
      </c>
      <c r="L878" s="2">
        <v>280</v>
      </c>
      <c r="M878">
        <f t="shared" ca="1" si="13"/>
        <v>0.98841113296046224</v>
      </c>
    </row>
    <row r="879" spans="1:13" x14ac:dyDescent="0.4">
      <c r="A879" t="s">
        <v>1702</v>
      </c>
      <c r="B879" t="s">
        <v>1703</v>
      </c>
      <c r="C879" t="s">
        <v>66</v>
      </c>
      <c r="D879" s="2">
        <v>6</v>
      </c>
      <c r="E879" s="2">
        <v>21</v>
      </c>
      <c r="F879" s="3">
        <v>0.626</v>
      </c>
      <c r="G879" s="3">
        <v>0.122</v>
      </c>
      <c r="H879" s="3">
        <v>0.46899999999999997</v>
      </c>
      <c r="I879" s="3">
        <v>0</v>
      </c>
      <c r="J879" s="3" t="s">
        <v>48</v>
      </c>
      <c r="K879" s="2">
        <v>88</v>
      </c>
      <c r="L879" s="2">
        <v>233</v>
      </c>
      <c r="M879">
        <f t="shared" ca="1" si="13"/>
        <v>0.34953368403444784</v>
      </c>
    </row>
    <row r="880" spans="1:13" x14ac:dyDescent="0.4">
      <c r="A880" t="s">
        <v>1704</v>
      </c>
      <c r="B880" t="s">
        <v>1705</v>
      </c>
      <c r="C880" t="s">
        <v>47</v>
      </c>
      <c r="D880" s="2">
        <v>1</v>
      </c>
      <c r="E880" s="2">
        <v>75</v>
      </c>
      <c r="F880" s="3">
        <v>0.56699999999999995</v>
      </c>
      <c r="G880" s="3">
        <v>0.108</v>
      </c>
      <c r="H880" s="3">
        <v>0.317</v>
      </c>
      <c r="I880" s="3">
        <v>0</v>
      </c>
      <c r="J880" s="3" t="s">
        <v>48</v>
      </c>
      <c r="K880" s="2">
        <v>122</v>
      </c>
      <c r="L880" s="2">
        <v>169</v>
      </c>
      <c r="M880">
        <f t="shared" ca="1" si="13"/>
        <v>0.50165471037364495</v>
      </c>
    </row>
    <row r="881" spans="1:13" x14ac:dyDescent="0.4">
      <c r="A881" t="s">
        <v>1706</v>
      </c>
      <c r="B881" t="s">
        <v>1707</v>
      </c>
      <c r="C881" t="s">
        <v>84</v>
      </c>
      <c r="D881" s="2">
        <v>1</v>
      </c>
      <c r="E881" s="2">
        <v>37</v>
      </c>
      <c r="F881" s="3">
        <v>0.69299999999999995</v>
      </c>
      <c r="G881" s="3">
        <v>6.7400000000000002E-2</v>
      </c>
      <c r="H881" s="3">
        <v>9.7900000000000001E-2</v>
      </c>
      <c r="I881" s="4">
        <v>1.1E-5</v>
      </c>
      <c r="J881" s="3" t="s">
        <v>48</v>
      </c>
      <c r="K881" s="2">
        <v>160</v>
      </c>
      <c r="L881" s="2">
        <v>240</v>
      </c>
      <c r="M881">
        <f t="shared" ca="1" si="13"/>
        <v>0.25282970769318425</v>
      </c>
    </row>
    <row r="882" spans="1:13" x14ac:dyDescent="0.4">
      <c r="A882" t="s">
        <v>1708</v>
      </c>
      <c r="B882" t="s">
        <v>1709</v>
      </c>
      <c r="C882" t="s">
        <v>66</v>
      </c>
      <c r="D882" s="2">
        <v>19</v>
      </c>
      <c r="E882" s="2">
        <v>49</v>
      </c>
      <c r="F882" s="3">
        <v>0.69499999999999995</v>
      </c>
      <c r="G882" s="3">
        <v>7.8799999999999995E-2</v>
      </c>
      <c r="H882" s="3">
        <v>0.307</v>
      </c>
      <c r="I882" s="4">
        <v>4.6E-6</v>
      </c>
      <c r="J882" s="3" t="s">
        <v>67</v>
      </c>
      <c r="K882" s="2">
        <v>128</v>
      </c>
      <c r="L882" s="2">
        <v>329</v>
      </c>
      <c r="M882">
        <f t="shared" ca="1" si="13"/>
        <v>0.24987691697499925</v>
      </c>
    </row>
    <row r="883" spans="1:13" x14ac:dyDescent="0.4">
      <c r="A883" t="s">
        <v>1710</v>
      </c>
      <c r="B883" t="s">
        <v>1711</v>
      </c>
      <c r="C883" t="s">
        <v>61</v>
      </c>
      <c r="D883" s="2">
        <v>14</v>
      </c>
      <c r="E883" s="2">
        <v>40</v>
      </c>
      <c r="F883" s="3">
        <v>0.53200000000000003</v>
      </c>
      <c r="G883" s="3">
        <v>3.8800000000000001E-2</v>
      </c>
      <c r="H883" s="3">
        <v>3.0200000000000001E-2</v>
      </c>
      <c r="I883" s="3">
        <v>0</v>
      </c>
      <c r="J883" s="3" t="s">
        <v>48</v>
      </c>
      <c r="K883" s="2">
        <v>136</v>
      </c>
      <c r="L883" s="2">
        <v>191</v>
      </c>
      <c r="M883">
        <f t="shared" ca="1" si="13"/>
        <v>0.87703356646641661</v>
      </c>
    </row>
    <row r="884" spans="1:13" x14ac:dyDescent="0.4">
      <c r="A884" t="s">
        <v>1712</v>
      </c>
      <c r="B884" t="s">
        <v>442</v>
      </c>
      <c r="C884" t="s">
        <v>61</v>
      </c>
      <c r="D884" s="2">
        <v>45</v>
      </c>
      <c r="E884" s="2">
        <v>65</v>
      </c>
      <c r="F884" s="3">
        <v>0.51</v>
      </c>
      <c r="G884" s="3">
        <v>4.1099999999999998E-2</v>
      </c>
      <c r="H884" s="3">
        <v>0.14799999999999999</v>
      </c>
      <c r="I884" s="3">
        <v>1.1599999999999999E-2</v>
      </c>
      <c r="J884" s="3" t="s">
        <v>48</v>
      </c>
      <c r="K884" s="2">
        <v>119</v>
      </c>
      <c r="L884" s="2">
        <v>171</v>
      </c>
      <c r="M884">
        <f t="shared" ca="1" si="13"/>
        <v>0.24187792715164524</v>
      </c>
    </row>
    <row r="885" spans="1:13" x14ac:dyDescent="0.4">
      <c r="A885" t="s">
        <v>1713</v>
      </c>
      <c r="B885" t="s">
        <v>1714</v>
      </c>
      <c r="C885" t="s">
        <v>66</v>
      </c>
      <c r="D885" s="2">
        <v>20</v>
      </c>
      <c r="E885" s="2">
        <v>36</v>
      </c>
      <c r="F885" s="3">
        <v>0.59499999999999997</v>
      </c>
      <c r="G885" s="3">
        <v>5.2200000000000003E-2</v>
      </c>
      <c r="H885" s="3">
        <v>0.629</v>
      </c>
      <c r="I885" s="4">
        <v>2.92E-6</v>
      </c>
      <c r="J885" s="3" t="s">
        <v>48</v>
      </c>
      <c r="K885" s="2">
        <v>144</v>
      </c>
      <c r="L885" s="2">
        <v>448</v>
      </c>
      <c r="M885">
        <f t="shared" ca="1" si="13"/>
        <v>0.24270819805278454</v>
      </c>
    </row>
    <row r="886" spans="1:13" x14ac:dyDescent="0.4">
      <c r="A886" t="s">
        <v>1715</v>
      </c>
      <c r="B886" t="s">
        <v>1716</v>
      </c>
      <c r="C886" t="s">
        <v>56</v>
      </c>
      <c r="D886" s="2">
        <v>19</v>
      </c>
      <c r="E886" s="2">
        <v>61</v>
      </c>
      <c r="F886" s="3">
        <v>0.74299999999999999</v>
      </c>
      <c r="G886" s="3">
        <v>5.57E-2</v>
      </c>
      <c r="H886" s="3">
        <v>3.46E-3</v>
      </c>
      <c r="I886" s="3">
        <v>1.31E-3</v>
      </c>
      <c r="J886" s="3" t="s">
        <v>48</v>
      </c>
      <c r="K886" s="2">
        <v>129</v>
      </c>
      <c r="L886" s="2">
        <v>360</v>
      </c>
      <c r="M886">
        <f t="shared" ca="1" si="13"/>
        <v>0.63808555141137513</v>
      </c>
    </row>
    <row r="887" spans="1:13" x14ac:dyDescent="0.4">
      <c r="A887" t="s">
        <v>1717</v>
      </c>
      <c r="B887" t="s">
        <v>1718</v>
      </c>
      <c r="C887" t="s">
        <v>53</v>
      </c>
      <c r="D887" s="2">
        <v>1</v>
      </c>
      <c r="E887" s="2">
        <v>47</v>
      </c>
      <c r="F887" s="3">
        <v>0.439</v>
      </c>
      <c r="G887" s="3">
        <v>0.125</v>
      </c>
      <c r="H887" s="3">
        <v>7.4300000000000005E-2</v>
      </c>
      <c r="I887" s="3">
        <v>0</v>
      </c>
      <c r="J887" s="3" t="s">
        <v>48</v>
      </c>
      <c r="K887" s="2">
        <v>95</v>
      </c>
      <c r="L887" s="2">
        <v>268</v>
      </c>
      <c r="M887">
        <f t="shared" ca="1" si="13"/>
        <v>0.11255797262927902</v>
      </c>
    </row>
    <row r="888" spans="1:13" x14ac:dyDescent="0.4">
      <c r="A888" t="s">
        <v>1719</v>
      </c>
      <c r="B888" t="s">
        <v>1720</v>
      </c>
      <c r="C888" t="s">
        <v>56</v>
      </c>
      <c r="D888" s="2">
        <v>6</v>
      </c>
      <c r="E888" s="2">
        <v>41</v>
      </c>
      <c r="F888" s="3">
        <v>0.53500000000000003</v>
      </c>
      <c r="G888" s="3">
        <v>2.92E-2</v>
      </c>
      <c r="H888" s="3">
        <v>1.95E-2</v>
      </c>
      <c r="I888" s="3">
        <v>1.4599999999999999E-3</v>
      </c>
      <c r="J888" s="3" t="s">
        <v>48</v>
      </c>
      <c r="K888" s="2">
        <v>128</v>
      </c>
      <c r="L888" s="2">
        <v>241</v>
      </c>
      <c r="M888">
        <f t="shared" ca="1" si="13"/>
        <v>2.6963164001909679E-2</v>
      </c>
    </row>
    <row r="889" spans="1:13" x14ac:dyDescent="0.4">
      <c r="A889" t="s">
        <v>1721</v>
      </c>
      <c r="B889" t="s">
        <v>1607</v>
      </c>
      <c r="C889" t="s">
        <v>56</v>
      </c>
      <c r="D889" s="2">
        <v>1</v>
      </c>
      <c r="E889" s="2">
        <v>10</v>
      </c>
      <c r="F889" s="3">
        <v>0.66800000000000004</v>
      </c>
      <c r="G889" s="3">
        <v>6.5699999999999995E-2</v>
      </c>
      <c r="H889" s="3">
        <v>1.9599999999999999E-3</v>
      </c>
      <c r="I889" s="3">
        <v>1.0399999999999999E-3</v>
      </c>
      <c r="J889" s="3" t="s">
        <v>48</v>
      </c>
      <c r="K889" s="2">
        <v>128</v>
      </c>
      <c r="L889" s="2">
        <v>247</v>
      </c>
      <c r="M889">
        <f t="shared" ca="1" si="13"/>
        <v>0.9921839077393011</v>
      </c>
    </row>
    <row r="890" spans="1:13" x14ac:dyDescent="0.4">
      <c r="A890" t="s">
        <v>1722</v>
      </c>
      <c r="B890" t="s">
        <v>1723</v>
      </c>
      <c r="C890" t="s">
        <v>53</v>
      </c>
      <c r="D890" s="2">
        <v>6</v>
      </c>
      <c r="E890" s="2">
        <v>41</v>
      </c>
      <c r="F890" s="3">
        <v>0.61099999999999999</v>
      </c>
      <c r="G890" s="3">
        <v>8.9800000000000005E-2</v>
      </c>
      <c r="H890" s="3">
        <v>0.56799999999999995</v>
      </c>
      <c r="I890" s="3">
        <v>0</v>
      </c>
      <c r="J890" s="3" t="s">
        <v>48</v>
      </c>
      <c r="K890" s="2">
        <v>176</v>
      </c>
      <c r="L890" s="2">
        <v>236</v>
      </c>
      <c r="M890">
        <f t="shared" ca="1" si="13"/>
        <v>0.86607820643228917</v>
      </c>
    </row>
    <row r="891" spans="1:13" x14ac:dyDescent="0.4">
      <c r="A891" t="s">
        <v>1724</v>
      </c>
      <c r="B891" t="s">
        <v>1725</v>
      </c>
      <c r="C891" t="s">
        <v>47</v>
      </c>
      <c r="D891" s="2">
        <v>7</v>
      </c>
      <c r="E891" s="2">
        <v>51</v>
      </c>
      <c r="F891" s="3">
        <v>0.42599999999999999</v>
      </c>
      <c r="G891" s="3">
        <v>0.106</v>
      </c>
      <c r="H891" s="3">
        <v>0.155</v>
      </c>
      <c r="I891" s="3">
        <v>0</v>
      </c>
      <c r="J891" s="3" t="s">
        <v>48</v>
      </c>
      <c r="K891" s="2">
        <v>170</v>
      </c>
      <c r="L891" s="2">
        <v>183</v>
      </c>
      <c r="M891">
        <f t="shared" ca="1" si="13"/>
        <v>0.15465010721856209</v>
      </c>
    </row>
    <row r="892" spans="1:13" x14ac:dyDescent="0.4">
      <c r="A892" t="s">
        <v>1726</v>
      </c>
      <c r="B892" t="s">
        <v>1727</v>
      </c>
      <c r="C892" t="s">
        <v>84</v>
      </c>
      <c r="D892" s="2">
        <v>2</v>
      </c>
      <c r="E892" s="2">
        <v>47</v>
      </c>
      <c r="F892" s="3">
        <v>0.68400000000000005</v>
      </c>
      <c r="G892" s="3">
        <v>0.15</v>
      </c>
      <c r="H892" s="3">
        <v>0.878</v>
      </c>
      <c r="I892" s="3">
        <v>0.95699999999999996</v>
      </c>
      <c r="J892" s="3" t="s">
        <v>67</v>
      </c>
      <c r="K892" s="2">
        <v>85</v>
      </c>
      <c r="L892" s="2">
        <v>158</v>
      </c>
      <c r="M892">
        <f t="shared" ca="1" si="13"/>
        <v>0.86269390442970106</v>
      </c>
    </row>
    <row r="893" spans="1:13" x14ac:dyDescent="0.4">
      <c r="A893" t="s">
        <v>1728</v>
      </c>
      <c r="B893" t="s">
        <v>890</v>
      </c>
      <c r="C893" t="s">
        <v>84</v>
      </c>
      <c r="D893" s="2">
        <v>21</v>
      </c>
      <c r="E893" s="2">
        <v>56</v>
      </c>
      <c r="F893" s="3">
        <v>0.90400000000000003</v>
      </c>
      <c r="G893" s="3">
        <v>0.27200000000000002</v>
      </c>
      <c r="H893" s="3">
        <v>5.3100000000000001E-2</v>
      </c>
      <c r="I893" s="3">
        <v>0</v>
      </c>
      <c r="J893" s="3" t="s">
        <v>48</v>
      </c>
      <c r="K893" s="2">
        <v>101</v>
      </c>
      <c r="L893" s="2">
        <v>192</v>
      </c>
      <c r="M893">
        <f t="shared" ca="1" si="13"/>
        <v>0.34019808267494278</v>
      </c>
    </row>
    <row r="894" spans="1:13" x14ac:dyDescent="0.4">
      <c r="A894" t="s">
        <v>1729</v>
      </c>
      <c r="B894" t="s">
        <v>1730</v>
      </c>
      <c r="C894" t="s">
        <v>61</v>
      </c>
      <c r="D894" s="2">
        <v>38</v>
      </c>
      <c r="E894" s="2">
        <v>34</v>
      </c>
      <c r="F894" s="3">
        <v>0.39</v>
      </c>
      <c r="G894" s="3">
        <v>3.1199999999999999E-2</v>
      </c>
      <c r="H894" s="3">
        <v>0.76600000000000001</v>
      </c>
      <c r="I894" s="3">
        <v>0</v>
      </c>
      <c r="J894" s="3" t="s">
        <v>67</v>
      </c>
      <c r="K894" s="2">
        <v>81</v>
      </c>
      <c r="L894" s="2">
        <v>227</v>
      </c>
      <c r="M894">
        <f t="shared" ca="1" si="13"/>
        <v>0.44473658134719474</v>
      </c>
    </row>
    <row r="895" spans="1:13" x14ac:dyDescent="0.4">
      <c r="A895" t="s">
        <v>1731</v>
      </c>
      <c r="B895" t="s">
        <v>1732</v>
      </c>
      <c r="C895" t="s">
        <v>66</v>
      </c>
      <c r="D895" s="2">
        <v>1</v>
      </c>
      <c r="E895" s="2">
        <v>56</v>
      </c>
      <c r="F895" s="3">
        <v>0.63800000000000001</v>
      </c>
      <c r="G895" s="3">
        <v>0.25600000000000001</v>
      </c>
      <c r="H895" s="3">
        <v>0.13600000000000001</v>
      </c>
      <c r="I895" s="3">
        <v>0</v>
      </c>
      <c r="J895" s="3" t="s">
        <v>48</v>
      </c>
      <c r="K895" s="2">
        <v>160</v>
      </c>
      <c r="L895" s="2">
        <v>167</v>
      </c>
      <c r="M895">
        <f t="shared" ca="1" si="13"/>
        <v>0.26866816427076956</v>
      </c>
    </row>
    <row r="896" spans="1:13" x14ac:dyDescent="0.4">
      <c r="A896" t="s">
        <v>1733</v>
      </c>
      <c r="B896" t="s">
        <v>1734</v>
      </c>
      <c r="C896" t="s">
        <v>53</v>
      </c>
      <c r="D896" s="2">
        <v>4</v>
      </c>
      <c r="E896" s="2">
        <v>3</v>
      </c>
      <c r="F896" s="3">
        <v>0.621</v>
      </c>
      <c r="G896" s="3">
        <v>4.3099999999999999E-2</v>
      </c>
      <c r="H896" s="3">
        <v>1.0500000000000001E-2</v>
      </c>
      <c r="I896" s="4">
        <v>1.15E-4</v>
      </c>
      <c r="J896" s="3" t="s">
        <v>48</v>
      </c>
      <c r="K896" s="2">
        <v>105</v>
      </c>
      <c r="L896" s="2">
        <v>214</v>
      </c>
      <c r="M896">
        <f t="shared" ca="1" si="13"/>
        <v>0.93102799114436063</v>
      </c>
    </row>
    <row r="897" spans="1:13" x14ac:dyDescent="0.4">
      <c r="A897" t="s">
        <v>1735</v>
      </c>
      <c r="B897" t="s">
        <v>1736</v>
      </c>
      <c r="C897" t="s">
        <v>53</v>
      </c>
      <c r="D897" s="2">
        <v>2</v>
      </c>
      <c r="E897" s="2">
        <v>32</v>
      </c>
      <c r="F897" s="3">
        <v>0.82099999999999995</v>
      </c>
      <c r="G897" s="3">
        <v>0.16400000000000001</v>
      </c>
      <c r="H897" s="3">
        <v>5.45E-2</v>
      </c>
      <c r="I897" s="3">
        <v>0</v>
      </c>
      <c r="J897" s="3" t="s">
        <v>48</v>
      </c>
      <c r="K897" s="2">
        <v>110</v>
      </c>
      <c r="L897" s="2">
        <v>179</v>
      </c>
      <c r="M897">
        <f t="shared" ca="1" si="13"/>
        <v>0.26729689082910968</v>
      </c>
    </row>
    <row r="898" spans="1:13" x14ac:dyDescent="0.4">
      <c r="A898" t="s">
        <v>1737</v>
      </c>
      <c r="B898" t="s">
        <v>278</v>
      </c>
      <c r="C898" t="s">
        <v>61</v>
      </c>
      <c r="D898" s="2">
        <v>41</v>
      </c>
      <c r="E898" s="2">
        <v>62</v>
      </c>
      <c r="F898" s="3">
        <v>0.46500000000000002</v>
      </c>
      <c r="G898" s="3">
        <v>6.3399999999999998E-2</v>
      </c>
      <c r="H898" s="3">
        <v>4.8599999999999997E-3</v>
      </c>
      <c r="I898" s="3">
        <v>0</v>
      </c>
      <c r="J898" s="3" t="s">
        <v>48</v>
      </c>
      <c r="K898" s="2">
        <v>169</v>
      </c>
      <c r="L898" s="2">
        <v>158</v>
      </c>
      <c r="M898">
        <f t="shared" ref="M898:M961" ca="1" si="14">RAND()</f>
        <v>0.85246818806247449</v>
      </c>
    </row>
    <row r="899" spans="1:13" x14ac:dyDescent="0.4">
      <c r="A899" t="s">
        <v>1738</v>
      </c>
      <c r="B899" t="s">
        <v>1739</v>
      </c>
      <c r="C899" t="s">
        <v>56</v>
      </c>
      <c r="D899" s="2">
        <v>1</v>
      </c>
      <c r="E899" s="2">
        <v>43</v>
      </c>
      <c r="F899" s="3">
        <v>0.56699999999999995</v>
      </c>
      <c r="G899" s="3">
        <v>0.188</v>
      </c>
      <c r="H899" s="3">
        <v>0.26500000000000001</v>
      </c>
      <c r="I899" s="3">
        <v>4.5300000000000002E-3</v>
      </c>
      <c r="J899" s="3" t="s">
        <v>48</v>
      </c>
      <c r="K899" s="2">
        <v>104</v>
      </c>
      <c r="L899" s="2">
        <v>170</v>
      </c>
      <c r="M899">
        <f t="shared" ca="1" si="14"/>
        <v>0.10442052931889434</v>
      </c>
    </row>
    <row r="900" spans="1:13" x14ac:dyDescent="0.4">
      <c r="A900" t="s">
        <v>1740</v>
      </c>
      <c r="B900" t="s">
        <v>1741</v>
      </c>
      <c r="C900" t="s">
        <v>61</v>
      </c>
      <c r="D900" s="2">
        <v>24</v>
      </c>
      <c r="E900" s="2">
        <v>58</v>
      </c>
      <c r="F900" s="3">
        <v>0.48199999999999998</v>
      </c>
      <c r="G900" s="3">
        <v>4.5699999999999998E-2</v>
      </c>
      <c r="H900" s="3">
        <v>2.81E-2</v>
      </c>
      <c r="I900" s="3">
        <v>0</v>
      </c>
      <c r="J900" s="3" t="s">
        <v>48</v>
      </c>
      <c r="K900" s="2">
        <v>188</v>
      </c>
      <c r="L900" s="2">
        <v>255</v>
      </c>
      <c r="M900">
        <f t="shared" ca="1" si="14"/>
        <v>0.16381753282692857</v>
      </c>
    </row>
    <row r="901" spans="1:13" x14ac:dyDescent="0.4">
      <c r="A901" t="s">
        <v>1742</v>
      </c>
      <c r="B901" t="s">
        <v>1743</v>
      </c>
      <c r="C901" t="s">
        <v>61</v>
      </c>
      <c r="D901" s="2">
        <v>23</v>
      </c>
      <c r="E901" s="2">
        <v>32</v>
      </c>
      <c r="F901" s="3">
        <v>0.46700000000000003</v>
      </c>
      <c r="G901" s="3">
        <v>8.2500000000000004E-2</v>
      </c>
      <c r="H901" s="3">
        <v>2.7699999999999999E-2</v>
      </c>
      <c r="I901" s="4">
        <v>2.6599999999999999E-6</v>
      </c>
      <c r="J901" s="3" t="s">
        <v>48</v>
      </c>
      <c r="K901" s="2">
        <v>81</v>
      </c>
      <c r="L901" s="2">
        <v>199</v>
      </c>
      <c r="M901">
        <f t="shared" ca="1" si="14"/>
        <v>0.82012725252572072</v>
      </c>
    </row>
    <row r="902" spans="1:13" x14ac:dyDescent="0.4">
      <c r="A902" t="s">
        <v>1744</v>
      </c>
      <c r="B902" t="s">
        <v>434</v>
      </c>
      <c r="C902" t="s">
        <v>47</v>
      </c>
      <c r="D902" s="2">
        <v>0</v>
      </c>
      <c r="E902" s="2">
        <v>70</v>
      </c>
      <c r="F902" s="3">
        <v>0.503</v>
      </c>
      <c r="G902" s="3">
        <v>4.24E-2</v>
      </c>
      <c r="H902" s="3">
        <v>0.26400000000000001</v>
      </c>
      <c r="I902" s="4">
        <v>5.8499999999999999E-5</v>
      </c>
      <c r="J902" s="3" t="s">
        <v>48</v>
      </c>
      <c r="K902" s="2">
        <v>117</v>
      </c>
      <c r="L902" s="2">
        <v>187</v>
      </c>
      <c r="M902">
        <f t="shared" ca="1" si="14"/>
        <v>0.93243397752513457</v>
      </c>
    </row>
    <row r="903" spans="1:13" x14ac:dyDescent="0.4">
      <c r="A903" t="s">
        <v>1745</v>
      </c>
      <c r="B903" t="s">
        <v>1746</v>
      </c>
      <c r="C903" t="s">
        <v>84</v>
      </c>
      <c r="D903" s="2">
        <v>0</v>
      </c>
      <c r="E903" s="2">
        <v>44</v>
      </c>
      <c r="F903" s="3">
        <v>0.61</v>
      </c>
      <c r="G903" s="3">
        <v>4.99E-2</v>
      </c>
      <c r="H903" s="3">
        <v>0.17899999999999999</v>
      </c>
      <c r="I903" s="3">
        <v>0.80700000000000005</v>
      </c>
      <c r="J903" s="3" t="s">
        <v>67</v>
      </c>
      <c r="K903" s="2">
        <v>146</v>
      </c>
      <c r="L903" s="2">
        <v>125</v>
      </c>
      <c r="M903">
        <f t="shared" ca="1" si="14"/>
        <v>0.86283411741339666</v>
      </c>
    </row>
    <row r="904" spans="1:13" x14ac:dyDescent="0.4">
      <c r="A904" t="s">
        <v>1747</v>
      </c>
      <c r="B904" t="s">
        <v>1748</v>
      </c>
      <c r="C904" t="s">
        <v>56</v>
      </c>
      <c r="D904" s="2">
        <v>1</v>
      </c>
      <c r="E904" s="2">
        <v>36</v>
      </c>
      <c r="F904" s="3">
        <v>0.81100000000000005</v>
      </c>
      <c r="G904" s="3">
        <v>7.3700000000000002E-2</v>
      </c>
      <c r="H904" s="3">
        <v>8.2799999999999999E-2</v>
      </c>
      <c r="I904" s="3">
        <v>7.4099999999999999E-3</v>
      </c>
      <c r="J904" s="3" t="s">
        <v>48</v>
      </c>
      <c r="K904" s="2">
        <v>125</v>
      </c>
      <c r="L904" s="2">
        <v>163</v>
      </c>
      <c r="M904">
        <f t="shared" ca="1" si="14"/>
        <v>9.2066636947097602E-2</v>
      </c>
    </row>
    <row r="905" spans="1:13" x14ac:dyDescent="0.4">
      <c r="A905" t="s">
        <v>1749</v>
      </c>
      <c r="B905" t="s">
        <v>1750</v>
      </c>
      <c r="C905" t="s">
        <v>47</v>
      </c>
      <c r="D905" s="2">
        <v>4</v>
      </c>
      <c r="E905" s="2">
        <v>69</v>
      </c>
      <c r="F905" s="3">
        <v>0.623</v>
      </c>
      <c r="G905" s="3">
        <v>3.3799999999999997E-2</v>
      </c>
      <c r="H905" s="3">
        <v>6.3200000000000006E-2</v>
      </c>
      <c r="I905" s="3">
        <v>0</v>
      </c>
      <c r="J905" s="3" t="s">
        <v>67</v>
      </c>
      <c r="K905" s="2">
        <v>81</v>
      </c>
      <c r="L905" s="2">
        <v>224</v>
      </c>
      <c r="M905">
        <f t="shared" ca="1" si="14"/>
        <v>0.50381254520983576</v>
      </c>
    </row>
    <row r="906" spans="1:13" x14ac:dyDescent="0.4">
      <c r="A906" t="s">
        <v>1751</v>
      </c>
      <c r="B906" t="s">
        <v>1752</v>
      </c>
      <c r="C906" t="s">
        <v>56</v>
      </c>
      <c r="D906" s="2">
        <v>6</v>
      </c>
      <c r="E906" s="2">
        <v>79</v>
      </c>
      <c r="F906" s="3">
        <v>0.5</v>
      </c>
      <c r="G906" s="3">
        <v>3.2300000000000002E-2</v>
      </c>
      <c r="H906" s="3">
        <v>0.746</v>
      </c>
      <c r="I906" s="3">
        <v>0</v>
      </c>
      <c r="J906" s="3" t="s">
        <v>67</v>
      </c>
      <c r="K906" s="2">
        <v>146</v>
      </c>
      <c r="L906" s="2">
        <v>185</v>
      </c>
      <c r="M906">
        <f t="shared" ca="1" si="14"/>
        <v>6.3051356890933108E-2</v>
      </c>
    </row>
    <row r="907" spans="1:13" x14ac:dyDescent="0.4">
      <c r="A907" t="s">
        <v>1753</v>
      </c>
      <c r="B907" t="s">
        <v>1754</v>
      </c>
      <c r="C907" t="s">
        <v>84</v>
      </c>
      <c r="D907" s="2">
        <v>26</v>
      </c>
      <c r="E907" s="2">
        <v>41</v>
      </c>
      <c r="F907" s="3">
        <v>0.77500000000000002</v>
      </c>
      <c r="G907" s="3">
        <v>0.316</v>
      </c>
      <c r="H907" s="3">
        <v>0.123</v>
      </c>
      <c r="I907" s="3">
        <v>0</v>
      </c>
      <c r="J907" s="3" t="s">
        <v>48</v>
      </c>
      <c r="K907" s="2">
        <v>91</v>
      </c>
      <c r="L907" s="2">
        <v>160</v>
      </c>
      <c r="M907">
        <f t="shared" ca="1" si="14"/>
        <v>0.955461602104133</v>
      </c>
    </row>
    <row r="908" spans="1:13" x14ac:dyDescent="0.4">
      <c r="A908" t="s">
        <v>1755</v>
      </c>
      <c r="B908" t="s">
        <v>1756</v>
      </c>
      <c r="C908" t="s">
        <v>66</v>
      </c>
      <c r="D908" s="2">
        <v>7</v>
      </c>
      <c r="E908" s="2">
        <v>49</v>
      </c>
      <c r="F908" s="3">
        <v>0.49399999999999999</v>
      </c>
      <c r="G908" s="3">
        <v>3.0800000000000001E-2</v>
      </c>
      <c r="H908" s="3">
        <v>0.193</v>
      </c>
      <c r="I908" s="3">
        <v>0</v>
      </c>
      <c r="J908" s="3" t="s">
        <v>67</v>
      </c>
      <c r="K908" s="2">
        <v>116</v>
      </c>
      <c r="L908" s="2">
        <v>238</v>
      </c>
      <c r="M908">
        <f t="shared" ca="1" si="14"/>
        <v>0.81551001511411725</v>
      </c>
    </row>
    <row r="909" spans="1:13" x14ac:dyDescent="0.4">
      <c r="A909" t="s">
        <v>1757</v>
      </c>
      <c r="B909" t="s">
        <v>1758</v>
      </c>
      <c r="C909" t="s">
        <v>61</v>
      </c>
      <c r="D909" s="2">
        <v>7</v>
      </c>
      <c r="E909" s="2">
        <v>59</v>
      </c>
      <c r="F909" s="3">
        <v>0.61199999999999999</v>
      </c>
      <c r="G909" s="3">
        <v>2.87E-2</v>
      </c>
      <c r="H909" s="3">
        <v>1.3599999999999999E-2</v>
      </c>
      <c r="I909" s="4">
        <v>1.1600000000000001E-5</v>
      </c>
      <c r="J909" s="3" t="s">
        <v>48</v>
      </c>
      <c r="K909" s="2">
        <v>122</v>
      </c>
      <c r="L909" s="2">
        <v>196</v>
      </c>
      <c r="M909">
        <f t="shared" ca="1" si="14"/>
        <v>0.24489915167888998</v>
      </c>
    </row>
    <row r="910" spans="1:13" x14ac:dyDescent="0.4">
      <c r="A910" t="s">
        <v>1759</v>
      </c>
      <c r="B910" t="s">
        <v>1760</v>
      </c>
      <c r="C910" t="s">
        <v>53</v>
      </c>
      <c r="D910" s="2">
        <v>5</v>
      </c>
      <c r="E910" s="2">
        <v>33</v>
      </c>
      <c r="F910" s="3">
        <v>0.879</v>
      </c>
      <c r="G910" s="3">
        <v>0.156</v>
      </c>
      <c r="H910" s="3">
        <v>5.7000000000000002E-2</v>
      </c>
      <c r="I910" s="4">
        <v>1.4500000000000001E-6</v>
      </c>
      <c r="J910" s="3" t="s">
        <v>48</v>
      </c>
      <c r="K910" s="2">
        <v>156</v>
      </c>
      <c r="L910" s="2">
        <v>261</v>
      </c>
      <c r="M910">
        <f t="shared" ca="1" si="14"/>
        <v>0.79918112340073633</v>
      </c>
    </row>
    <row r="911" spans="1:13" x14ac:dyDescent="0.4">
      <c r="A911" t="s">
        <v>1761</v>
      </c>
      <c r="B911" t="s">
        <v>1762</v>
      </c>
      <c r="C911" t="s">
        <v>84</v>
      </c>
      <c r="D911" s="2">
        <v>13</v>
      </c>
      <c r="E911" s="2">
        <v>28</v>
      </c>
      <c r="F911" s="3">
        <v>0.65100000000000002</v>
      </c>
      <c r="G911" s="3">
        <v>0.45</v>
      </c>
      <c r="H911" s="3">
        <v>6.7900000000000002E-2</v>
      </c>
      <c r="I911" s="3">
        <v>0</v>
      </c>
      <c r="J911" s="3" t="s">
        <v>48</v>
      </c>
      <c r="K911" s="2">
        <v>170</v>
      </c>
      <c r="L911" s="2">
        <v>201</v>
      </c>
      <c r="M911">
        <f t="shared" ca="1" si="14"/>
        <v>5.2126057824118277E-2</v>
      </c>
    </row>
    <row r="912" spans="1:13" x14ac:dyDescent="0.4">
      <c r="A912" t="s">
        <v>1763</v>
      </c>
      <c r="B912" t="s">
        <v>1764</v>
      </c>
      <c r="C912" t="s">
        <v>66</v>
      </c>
      <c r="D912" s="2">
        <v>1</v>
      </c>
      <c r="E912" s="2">
        <v>30</v>
      </c>
      <c r="F912" s="3">
        <v>0.63100000000000001</v>
      </c>
      <c r="G912" s="3">
        <v>2.7699999999999999E-2</v>
      </c>
      <c r="H912" s="3">
        <v>2.9899999999999999E-2</v>
      </c>
      <c r="I912" s="3">
        <v>0</v>
      </c>
      <c r="J912" s="3" t="s">
        <v>48</v>
      </c>
      <c r="K912" s="2">
        <v>136</v>
      </c>
      <c r="L912" s="2">
        <v>177</v>
      </c>
      <c r="M912">
        <f t="shared" ca="1" si="14"/>
        <v>0.71407894733472133</v>
      </c>
    </row>
    <row r="913" spans="1:13" x14ac:dyDescent="0.4">
      <c r="A913" t="s">
        <v>1765</v>
      </c>
      <c r="B913" t="s">
        <v>1766</v>
      </c>
      <c r="C913" t="s">
        <v>56</v>
      </c>
      <c r="D913" s="2">
        <v>0</v>
      </c>
      <c r="E913" s="2">
        <v>16</v>
      </c>
      <c r="F913" s="3">
        <v>0.76900000000000002</v>
      </c>
      <c r="G913" s="3">
        <v>5.3100000000000001E-2</v>
      </c>
      <c r="H913" s="3">
        <v>0.13100000000000001</v>
      </c>
      <c r="I913" s="3">
        <v>0.219</v>
      </c>
      <c r="J913" s="3" t="s">
        <v>48</v>
      </c>
      <c r="K913" s="2">
        <v>125</v>
      </c>
      <c r="L913" s="2">
        <v>182</v>
      </c>
      <c r="M913">
        <f t="shared" ca="1" si="14"/>
        <v>0.57319553975687754</v>
      </c>
    </row>
    <row r="914" spans="1:13" x14ac:dyDescent="0.4">
      <c r="A914" t="s">
        <v>1767</v>
      </c>
      <c r="B914" t="s">
        <v>1768</v>
      </c>
      <c r="C914" t="s">
        <v>47</v>
      </c>
      <c r="D914" s="2">
        <v>1</v>
      </c>
      <c r="E914" s="2">
        <v>63</v>
      </c>
      <c r="F914" s="3">
        <v>0.78100000000000003</v>
      </c>
      <c r="G914" s="3">
        <v>0.23200000000000001</v>
      </c>
      <c r="H914" s="3">
        <v>0.32700000000000001</v>
      </c>
      <c r="I914" s="4">
        <v>2.4800000000000001E-4</v>
      </c>
      <c r="J914" s="3" t="s">
        <v>48</v>
      </c>
      <c r="K914" s="2">
        <v>118</v>
      </c>
      <c r="L914" s="2">
        <v>192</v>
      </c>
      <c r="M914">
        <f t="shared" ca="1" si="14"/>
        <v>0.36091707396863704</v>
      </c>
    </row>
    <row r="915" spans="1:13" x14ac:dyDescent="0.4">
      <c r="A915" t="s">
        <v>1769</v>
      </c>
      <c r="B915" t="s">
        <v>1770</v>
      </c>
      <c r="C915" t="s">
        <v>53</v>
      </c>
      <c r="D915" s="2">
        <v>4</v>
      </c>
      <c r="E915" s="2">
        <v>62</v>
      </c>
      <c r="F915" s="3">
        <v>0.74299999999999999</v>
      </c>
      <c r="G915" s="3">
        <v>6.2799999999999995E-2</v>
      </c>
      <c r="H915" s="3">
        <v>6.5199999999999994E-2</v>
      </c>
      <c r="I915" s="3">
        <v>7.7999999999999996E-3</v>
      </c>
      <c r="J915" s="3" t="s">
        <v>48</v>
      </c>
      <c r="K915" s="2">
        <v>120</v>
      </c>
      <c r="L915" s="2">
        <v>185</v>
      </c>
      <c r="M915">
        <f t="shared" ca="1" si="14"/>
        <v>0.88257399168070327</v>
      </c>
    </row>
    <row r="916" spans="1:13" x14ac:dyDescent="0.4">
      <c r="A916" t="s">
        <v>1771</v>
      </c>
      <c r="B916" t="s">
        <v>1772</v>
      </c>
      <c r="C916" t="s">
        <v>66</v>
      </c>
      <c r="D916" s="2">
        <v>18</v>
      </c>
      <c r="E916" s="2">
        <v>54</v>
      </c>
      <c r="F916" s="3">
        <v>0.71399999999999997</v>
      </c>
      <c r="G916" s="3">
        <v>3.4200000000000001E-2</v>
      </c>
      <c r="H916" s="3">
        <v>0.46200000000000002</v>
      </c>
      <c r="I916" s="3">
        <v>1.17E-2</v>
      </c>
      <c r="J916" s="3" t="s">
        <v>67</v>
      </c>
      <c r="K916" s="2">
        <v>93</v>
      </c>
      <c r="L916" s="2">
        <v>230</v>
      </c>
      <c r="M916">
        <f t="shared" ca="1" si="14"/>
        <v>0.55381174979238623</v>
      </c>
    </row>
    <row r="917" spans="1:13" x14ac:dyDescent="0.4">
      <c r="A917" t="s">
        <v>1773</v>
      </c>
      <c r="B917" t="s">
        <v>1774</v>
      </c>
      <c r="C917" t="s">
        <v>61</v>
      </c>
      <c r="D917" s="2">
        <v>44</v>
      </c>
      <c r="E917" s="2">
        <v>74</v>
      </c>
      <c r="F917" s="3">
        <v>0.42899999999999999</v>
      </c>
      <c r="G917" s="3">
        <v>2.6800000000000001E-2</v>
      </c>
      <c r="H917" s="3">
        <v>1.9300000000000001E-2</v>
      </c>
      <c r="I917" s="4">
        <v>8.2799999999999996E-4</v>
      </c>
      <c r="J917" s="3" t="s">
        <v>48</v>
      </c>
      <c r="K917" s="2">
        <v>104</v>
      </c>
      <c r="L917" s="2">
        <v>235</v>
      </c>
      <c r="M917">
        <f t="shared" ca="1" si="14"/>
        <v>0.90519823832074831</v>
      </c>
    </row>
    <row r="918" spans="1:13" x14ac:dyDescent="0.4">
      <c r="A918" t="s">
        <v>1775</v>
      </c>
      <c r="B918" t="s">
        <v>1367</v>
      </c>
      <c r="C918" t="s">
        <v>61</v>
      </c>
      <c r="D918" s="2">
        <v>1</v>
      </c>
      <c r="E918" s="2">
        <v>58</v>
      </c>
      <c r="F918" s="3">
        <v>0.64500000000000002</v>
      </c>
      <c r="G918" s="3">
        <v>0.193</v>
      </c>
      <c r="H918" s="3">
        <v>1.1900000000000001E-3</v>
      </c>
      <c r="I918" s="3">
        <v>0</v>
      </c>
      <c r="J918" s="3" t="s">
        <v>48</v>
      </c>
      <c r="K918" s="2">
        <v>91</v>
      </c>
      <c r="L918" s="2">
        <v>204</v>
      </c>
      <c r="M918">
        <f t="shared" ca="1" si="14"/>
        <v>0.93095999054464007</v>
      </c>
    </row>
    <row r="919" spans="1:13" x14ac:dyDescent="0.4">
      <c r="A919" t="s">
        <v>1776</v>
      </c>
      <c r="B919" t="s">
        <v>1777</v>
      </c>
      <c r="C919" t="s">
        <v>84</v>
      </c>
      <c r="D919" s="2">
        <v>1</v>
      </c>
      <c r="E919" s="2">
        <v>42</v>
      </c>
      <c r="F919" s="3">
        <v>0.49399999999999999</v>
      </c>
      <c r="G919" s="3">
        <v>5.4600000000000003E-2</v>
      </c>
      <c r="H919" s="3">
        <v>1.5299999999999999E-3</v>
      </c>
      <c r="I919" s="4">
        <v>5.3499999999999999E-5</v>
      </c>
      <c r="J919" s="3" t="s">
        <v>48</v>
      </c>
      <c r="K919" s="2">
        <v>92</v>
      </c>
      <c r="L919" s="2">
        <v>211</v>
      </c>
      <c r="M919">
        <f t="shared" ca="1" si="14"/>
        <v>6.9935322940191558E-2</v>
      </c>
    </row>
    <row r="920" spans="1:13" x14ac:dyDescent="0.4">
      <c r="A920" t="s">
        <v>1778</v>
      </c>
      <c r="B920" t="s">
        <v>1779</v>
      </c>
      <c r="C920" t="s">
        <v>47</v>
      </c>
      <c r="D920" s="2">
        <v>11</v>
      </c>
      <c r="E920" s="2">
        <v>7</v>
      </c>
      <c r="F920" s="3">
        <v>0.54900000000000004</v>
      </c>
      <c r="G920" s="3">
        <v>7.0199999999999999E-2</v>
      </c>
      <c r="H920" s="3">
        <v>1.91E-3</v>
      </c>
      <c r="I920" s="3">
        <v>3.2199999999999999E-2</v>
      </c>
      <c r="J920" s="3" t="s">
        <v>48</v>
      </c>
      <c r="K920" s="2">
        <v>140</v>
      </c>
      <c r="L920" s="2">
        <v>213</v>
      </c>
      <c r="M920">
        <f t="shared" ca="1" si="14"/>
        <v>0.1733530648175966</v>
      </c>
    </row>
    <row r="921" spans="1:13" x14ac:dyDescent="0.4">
      <c r="A921" t="s">
        <v>1780</v>
      </c>
      <c r="B921" t="s">
        <v>1781</v>
      </c>
      <c r="C921" t="s">
        <v>47</v>
      </c>
      <c r="D921" s="2">
        <v>8</v>
      </c>
      <c r="E921" s="2">
        <v>3</v>
      </c>
      <c r="F921" s="3">
        <v>0.498</v>
      </c>
      <c r="G921" s="3">
        <v>2.7300000000000001E-2</v>
      </c>
      <c r="H921" s="3">
        <v>0.27</v>
      </c>
      <c r="I921" s="3">
        <v>0.19800000000000001</v>
      </c>
      <c r="J921" s="3" t="s">
        <v>67</v>
      </c>
      <c r="K921" s="2">
        <v>97</v>
      </c>
      <c r="L921" s="2">
        <v>286</v>
      </c>
      <c r="M921">
        <f t="shared" ca="1" si="14"/>
        <v>0.51778756981473539</v>
      </c>
    </row>
    <row r="922" spans="1:13" x14ac:dyDescent="0.4">
      <c r="A922" t="s">
        <v>1782</v>
      </c>
      <c r="B922" t="s">
        <v>1783</v>
      </c>
      <c r="C922" t="s">
        <v>53</v>
      </c>
      <c r="D922" s="2">
        <v>8</v>
      </c>
      <c r="E922" s="2">
        <v>58</v>
      </c>
      <c r="F922" s="3">
        <v>0.65700000000000003</v>
      </c>
      <c r="G922" s="3">
        <v>2.69E-2</v>
      </c>
      <c r="H922" s="3">
        <v>2.4599999999999999E-3</v>
      </c>
      <c r="I922" s="3">
        <v>0</v>
      </c>
      <c r="J922" s="3" t="s">
        <v>48</v>
      </c>
      <c r="K922" s="2">
        <v>120</v>
      </c>
      <c r="L922" s="2">
        <v>225</v>
      </c>
      <c r="M922">
        <f t="shared" ca="1" si="14"/>
        <v>9.1158763920462849E-2</v>
      </c>
    </row>
    <row r="923" spans="1:13" x14ac:dyDescent="0.4">
      <c r="A923" t="s">
        <v>1784</v>
      </c>
      <c r="B923" t="s">
        <v>794</v>
      </c>
      <c r="C923" t="s">
        <v>53</v>
      </c>
      <c r="D923" s="2">
        <v>30</v>
      </c>
      <c r="E923" s="2">
        <v>33</v>
      </c>
      <c r="F923" s="3">
        <v>0.36099999999999999</v>
      </c>
      <c r="G923" s="3">
        <v>4.1399999999999999E-2</v>
      </c>
      <c r="H923" s="3">
        <v>0.67900000000000005</v>
      </c>
      <c r="I923" s="3">
        <v>0</v>
      </c>
      <c r="J923" s="3" t="s">
        <v>67</v>
      </c>
      <c r="K923" s="2">
        <v>135</v>
      </c>
      <c r="L923" s="2">
        <v>278</v>
      </c>
      <c r="M923">
        <f t="shared" ca="1" si="14"/>
        <v>0.14924994889804244</v>
      </c>
    </row>
    <row r="924" spans="1:13" x14ac:dyDescent="0.4">
      <c r="A924" t="s">
        <v>1785</v>
      </c>
      <c r="B924" t="s">
        <v>1786</v>
      </c>
      <c r="C924" t="s">
        <v>47</v>
      </c>
      <c r="D924" s="2">
        <v>2</v>
      </c>
      <c r="E924" s="2">
        <v>28</v>
      </c>
      <c r="F924" s="3">
        <v>0.74099999999999999</v>
      </c>
      <c r="G924" s="3">
        <v>7.9000000000000001E-2</v>
      </c>
      <c r="H924" s="3">
        <v>8.2600000000000007E-2</v>
      </c>
      <c r="I924" s="3">
        <v>0</v>
      </c>
      <c r="J924" s="3" t="s">
        <v>48</v>
      </c>
      <c r="K924" s="2">
        <v>90</v>
      </c>
      <c r="L924" s="2">
        <v>166</v>
      </c>
      <c r="M924">
        <f t="shared" ca="1" si="14"/>
        <v>0.28882949995707174</v>
      </c>
    </row>
    <row r="925" spans="1:13" x14ac:dyDescent="0.4">
      <c r="A925" t="s">
        <v>1787</v>
      </c>
      <c r="B925" t="s">
        <v>1788</v>
      </c>
      <c r="C925" t="s">
        <v>53</v>
      </c>
      <c r="D925" s="2">
        <v>7</v>
      </c>
      <c r="E925" s="2">
        <v>49</v>
      </c>
      <c r="F925" s="3">
        <v>0.80600000000000005</v>
      </c>
      <c r="G925" s="3">
        <v>4.58E-2</v>
      </c>
      <c r="H925" s="3">
        <v>0.14199999999999999</v>
      </c>
      <c r="I925" s="3">
        <v>0</v>
      </c>
      <c r="J925" s="3" t="s">
        <v>48</v>
      </c>
      <c r="K925" s="2">
        <v>106</v>
      </c>
      <c r="L925" s="2">
        <v>240</v>
      </c>
      <c r="M925">
        <f t="shared" ca="1" si="14"/>
        <v>7.5067692085873605E-2</v>
      </c>
    </row>
    <row r="926" spans="1:13" x14ac:dyDescent="0.4">
      <c r="A926" t="s">
        <v>1789</v>
      </c>
      <c r="B926" t="s">
        <v>408</v>
      </c>
      <c r="C926" t="s">
        <v>47</v>
      </c>
      <c r="D926" s="2">
        <v>4</v>
      </c>
      <c r="E926" s="2">
        <v>2</v>
      </c>
      <c r="F926" s="3">
        <v>0.504</v>
      </c>
      <c r="G926" s="3">
        <v>4.4200000000000003E-2</v>
      </c>
      <c r="H926" s="3">
        <v>4.3400000000000001E-3</v>
      </c>
      <c r="I926" s="3">
        <v>0</v>
      </c>
      <c r="J926" s="3" t="s">
        <v>48</v>
      </c>
      <c r="K926" s="2">
        <v>128</v>
      </c>
      <c r="L926" s="2">
        <v>212</v>
      </c>
      <c r="M926">
        <f t="shared" ca="1" si="14"/>
        <v>0.13895479681894285</v>
      </c>
    </row>
    <row r="927" spans="1:13" x14ac:dyDescent="0.4">
      <c r="A927" t="s">
        <v>1790</v>
      </c>
      <c r="B927" t="s">
        <v>386</v>
      </c>
      <c r="C927" t="s">
        <v>66</v>
      </c>
      <c r="D927" s="2">
        <v>37</v>
      </c>
      <c r="E927" s="2">
        <v>38</v>
      </c>
      <c r="F927" s="3">
        <v>0.745</v>
      </c>
      <c r="G927" s="3">
        <v>4.2099999999999999E-2</v>
      </c>
      <c r="H927" s="3">
        <v>2.07E-2</v>
      </c>
      <c r="I927" s="4">
        <v>2.5899999999999999E-5</v>
      </c>
      <c r="J927" s="3" t="s">
        <v>67</v>
      </c>
      <c r="K927" s="2">
        <v>102</v>
      </c>
      <c r="L927" s="2">
        <v>353</v>
      </c>
      <c r="M927">
        <f t="shared" ca="1" si="14"/>
        <v>0.16430605120676811</v>
      </c>
    </row>
    <row r="928" spans="1:13" x14ac:dyDescent="0.4">
      <c r="A928" t="s">
        <v>1791</v>
      </c>
      <c r="B928" t="s">
        <v>1291</v>
      </c>
      <c r="C928" t="s">
        <v>47</v>
      </c>
      <c r="D928" s="2">
        <v>7</v>
      </c>
      <c r="E928" s="2">
        <v>45</v>
      </c>
      <c r="F928" s="3">
        <v>0.57799999999999996</v>
      </c>
      <c r="G928" s="3">
        <v>0.24299999999999999</v>
      </c>
      <c r="H928" s="3">
        <v>0.26100000000000001</v>
      </c>
      <c r="I928" s="3">
        <v>3.1800000000000001E-3</v>
      </c>
      <c r="J928" s="3" t="s">
        <v>48</v>
      </c>
      <c r="K928" s="2">
        <v>206</v>
      </c>
      <c r="L928" s="2">
        <v>205</v>
      </c>
      <c r="M928">
        <f t="shared" ca="1" si="14"/>
        <v>0.83776323559968524</v>
      </c>
    </row>
    <row r="929" spans="1:13" x14ac:dyDescent="0.4">
      <c r="A929" t="s">
        <v>1792</v>
      </c>
      <c r="B929" t="s">
        <v>1793</v>
      </c>
      <c r="C929" t="s">
        <v>84</v>
      </c>
      <c r="D929" s="2">
        <v>1</v>
      </c>
      <c r="E929" s="2">
        <v>42</v>
      </c>
      <c r="F929" s="3">
        <v>0.72599999999999998</v>
      </c>
      <c r="G929" s="3">
        <v>3.9399999999999998E-2</v>
      </c>
      <c r="H929" s="3">
        <v>3.61E-2</v>
      </c>
      <c r="I929" s="3">
        <v>0</v>
      </c>
      <c r="J929" s="3" t="s">
        <v>48</v>
      </c>
      <c r="K929" s="2">
        <v>126</v>
      </c>
      <c r="L929" s="2">
        <v>177</v>
      </c>
      <c r="M929">
        <f t="shared" ca="1" si="14"/>
        <v>0.61685629403550779</v>
      </c>
    </row>
    <row r="930" spans="1:13" x14ac:dyDescent="0.4">
      <c r="A930" t="s">
        <v>1794</v>
      </c>
      <c r="B930" t="s">
        <v>1795</v>
      </c>
      <c r="C930" t="s">
        <v>56</v>
      </c>
      <c r="D930" s="2">
        <v>1</v>
      </c>
      <c r="E930" s="2">
        <v>44</v>
      </c>
      <c r="F930" s="3">
        <v>0.53500000000000003</v>
      </c>
      <c r="G930" s="3">
        <v>8.5800000000000001E-2</v>
      </c>
      <c r="H930" s="3">
        <v>1.7600000000000001E-2</v>
      </c>
      <c r="I930" s="4">
        <v>9.3300000000000005E-5</v>
      </c>
      <c r="J930" s="3" t="s">
        <v>48</v>
      </c>
      <c r="K930" s="2">
        <v>115</v>
      </c>
      <c r="L930" s="2">
        <v>204</v>
      </c>
      <c r="M930">
        <f t="shared" ca="1" si="14"/>
        <v>0.20001467860776245</v>
      </c>
    </row>
    <row r="931" spans="1:13" x14ac:dyDescent="0.4">
      <c r="A931" t="s">
        <v>1796</v>
      </c>
      <c r="B931" t="s">
        <v>1797</v>
      </c>
      <c r="C931" t="s">
        <v>53</v>
      </c>
      <c r="D931" s="2">
        <v>1</v>
      </c>
      <c r="E931" s="2">
        <v>40</v>
      </c>
      <c r="F931" s="3">
        <v>0.89300000000000002</v>
      </c>
      <c r="G931" s="3">
        <v>0.59</v>
      </c>
      <c r="H931" s="3">
        <v>0.65100000000000002</v>
      </c>
      <c r="I931" s="3">
        <v>3.3300000000000003E-2</v>
      </c>
      <c r="J931" s="3" t="s">
        <v>67</v>
      </c>
      <c r="K931" s="2">
        <v>89</v>
      </c>
      <c r="L931" s="2">
        <v>108</v>
      </c>
      <c r="M931">
        <f t="shared" ca="1" si="14"/>
        <v>0.25222217582923812</v>
      </c>
    </row>
    <row r="932" spans="1:13" x14ac:dyDescent="0.4">
      <c r="A932" t="s">
        <v>1798</v>
      </c>
      <c r="B932" t="s">
        <v>1799</v>
      </c>
      <c r="C932" t="s">
        <v>53</v>
      </c>
      <c r="D932" s="2">
        <v>4</v>
      </c>
      <c r="E932" s="2">
        <v>2</v>
      </c>
      <c r="F932" s="3">
        <v>0.82699999999999996</v>
      </c>
      <c r="G932" s="3">
        <v>6.6500000000000004E-2</v>
      </c>
      <c r="H932" s="3">
        <v>4.9300000000000004E-3</v>
      </c>
      <c r="I932" s="3">
        <v>0.86199999999999999</v>
      </c>
      <c r="J932" s="3" t="s">
        <v>48</v>
      </c>
      <c r="K932" s="2">
        <v>115</v>
      </c>
      <c r="L932" s="2">
        <v>244</v>
      </c>
      <c r="M932">
        <f t="shared" ca="1" si="14"/>
        <v>0.92876808038764913</v>
      </c>
    </row>
    <row r="933" spans="1:13" x14ac:dyDescent="0.4">
      <c r="A933" t="s">
        <v>1800</v>
      </c>
      <c r="B933" t="s">
        <v>304</v>
      </c>
      <c r="C933" t="s">
        <v>84</v>
      </c>
      <c r="D933" s="2">
        <v>21</v>
      </c>
      <c r="E933" s="2">
        <v>57</v>
      </c>
      <c r="F933" s="3">
        <v>0.93899999999999995</v>
      </c>
      <c r="G933" s="3">
        <v>0.20699999999999999</v>
      </c>
      <c r="H933" s="3">
        <v>0.17199999999999999</v>
      </c>
      <c r="I933" s="3">
        <v>0</v>
      </c>
      <c r="J933" s="3" t="s">
        <v>67</v>
      </c>
      <c r="K933" s="2">
        <v>98</v>
      </c>
      <c r="L933" s="2">
        <v>207</v>
      </c>
      <c r="M933">
        <f t="shared" ca="1" si="14"/>
        <v>0.72123651022180479</v>
      </c>
    </row>
    <row r="934" spans="1:13" x14ac:dyDescent="0.4">
      <c r="A934" t="s">
        <v>1801</v>
      </c>
      <c r="B934" t="s">
        <v>1802</v>
      </c>
      <c r="C934" t="s">
        <v>47</v>
      </c>
      <c r="D934" s="2">
        <v>2</v>
      </c>
      <c r="E934" s="2">
        <v>73</v>
      </c>
      <c r="F934" s="3">
        <v>0.47199999999999998</v>
      </c>
      <c r="G934" s="3">
        <v>3.56E-2</v>
      </c>
      <c r="H934" s="4">
        <v>6.0700000000000001E-4</v>
      </c>
      <c r="I934" s="4">
        <v>2.7399999999999999E-5</v>
      </c>
      <c r="J934" s="3" t="s">
        <v>48</v>
      </c>
      <c r="K934" s="2">
        <v>180</v>
      </c>
      <c r="L934" s="2">
        <v>253</v>
      </c>
      <c r="M934">
        <f t="shared" ca="1" si="14"/>
        <v>0.80614832161163108</v>
      </c>
    </row>
    <row r="935" spans="1:13" x14ac:dyDescent="0.4">
      <c r="A935" t="s">
        <v>1803</v>
      </c>
      <c r="B935" t="s">
        <v>1804</v>
      </c>
      <c r="C935" t="s">
        <v>61</v>
      </c>
      <c r="D935" s="2">
        <v>1</v>
      </c>
      <c r="E935" s="2">
        <v>10</v>
      </c>
      <c r="F935" s="3">
        <v>0.42799999999999999</v>
      </c>
      <c r="G935" s="3">
        <v>8.2400000000000001E-2</v>
      </c>
      <c r="H935" s="4">
        <v>7.3499999999999999E-6</v>
      </c>
      <c r="I935" s="4">
        <v>2.22E-4</v>
      </c>
      <c r="J935" s="3" t="s">
        <v>48</v>
      </c>
      <c r="K935" s="2">
        <v>140</v>
      </c>
      <c r="L935" s="2">
        <v>281</v>
      </c>
      <c r="M935">
        <f t="shared" ca="1" si="14"/>
        <v>0.42480865351675789</v>
      </c>
    </row>
    <row r="936" spans="1:13" x14ac:dyDescent="0.4">
      <c r="A936" t="s">
        <v>1805</v>
      </c>
      <c r="B936" t="s">
        <v>1806</v>
      </c>
      <c r="C936" t="s">
        <v>56</v>
      </c>
      <c r="D936" s="2">
        <v>7</v>
      </c>
      <c r="E936" s="2">
        <v>39</v>
      </c>
      <c r="F936" s="3">
        <v>0.83899999999999997</v>
      </c>
      <c r="G936" s="3">
        <v>0.14699999999999999</v>
      </c>
      <c r="H936" s="3">
        <v>0.18099999999999999</v>
      </c>
      <c r="I936" s="4">
        <v>2.2699999999999999E-4</v>
      </c>
      <c r="J936" s="3" t="s">
        <v>48</v>
      </c>
      <c r="K936" s="2">
        <v>120</v>
      </c>
      <c r="L936" s="2">
        <v>209</v>
      </c>
      <c r="M936">
        <f t="shared" ca="1" si="14"/>
        <v>0.69164337253697772</v>
      </c>
    </row>
    <row r="937" spans="1:13" x14ac:dyDescent="0.4">
      <c r="A937" t="s">
        <v>1807</v>
      </c>
      <c r="B937" t="s">
        <v>1808</v>
      </c>
      <c r="C937" t="s">
        <v>53</v>
      </c>
      <c r="D937" s="2">
        <v>1</v>
      </c>
      <c r="E937" s="2">
        <v>58</v>
      </c>
      <c r="F937" s="3">
        <v>0.55200000000000005</v>
      </c>
      <c r="G937" s="3">
        <v>0.29699999999999999</v>
      </c>
      <c r="H937" s="3">
        <v>0.311</v>
      </c>
      <c r="I937" s="3">
        <v>0</v>
      </c>
      <c r="J937" s="3" t="s">
        <v>48</v>
      </c>
      <c r="K937" s="2">
        <v>184</v>
      </c>
      <c r="L937" s="2">
        <v>198</v>
      </c>
      <c r="M937">
        <f t="shared" ca="1" si="14"/>
        <v>0.25881389448361547</v>
      </c>
    </row>
    <row r="938" spans="1:13" x14ac:dyDescent="0.4">
      <c r="A938" t="s">
        <v>1809</v>
      </c>
      <c r="B938" t="s">
        <v>1810</v>
      </c>
      <c r="C938" t="s">
        <v>61</v>
      </c>
      <c r="D938" s="2">
        <v>46</v>
      </c>
      <c r="E938" s="2">
        <v>56</v>
      </c>
      <c r="F938" s="3">
        <v>0.71699999999999997</v>
      </c>
      <c r="G938" s="3">
        <v>3.0499999999999999E-2</v>
      </c>
      <c r="H938" s="3">
        <v>0.58699999999999997</v>
      </c>
      <c r="I938" s="3">
        <v>0.10299999999999999</v>
      </c>
      <c r="J938" s="3" t="s">
        <v>67</v>
      </c>
      <c r="K938" s="2">
        <v>123</v>
      </c>
      <c r="L938" s="2">
        <v>204</v>
      </c>
      <c r="M938">
        <f t="shared" ca="1" si="14"/>
        <v>0.96147592359928136</v>
      </c>
    </row>
    <row r="939" spans="1:13" x14ac:dyDescent="0.4">
      <c r="A939" t="s">
        <v>1811</v>
      </c>
      <c r="B939" t="s">
        <v>1802</v>
      </c>
      <c r="C939" t="s">
        <v>47</v>
      </c>
      <c r="D939" s="2">
        <v>4</v>
      </c>
      <c r="E939" s="2">
        <v>73</v>
      </c>
      <c r="F939" s="3">
        <v>0.61799999999999999</v>
      </c>
      <c r="G939" s="3">
        <v>6.0100000000000001E-2</v>
      </c>
      <c r="H939" s="3">
        <v>0.20399999999999999</v>
      </c>
      <c r="I939" s="3">
        <v>1.54E-2</v>
      </c>
      <c r="J939" s="3" t="s">
        <v>48</v>
      </c>
      <c r="K939" s="2">
        <v>101</v>
      </c>
      <c r="L939" s="2">
        <v>348</v>
      </c>
      <c r="M939">
        <f t="shared" ca="1" si="14"/>
        <v>0.47077105966448551</v>
      </c>
    </row>
    <row r="940" spans="1:13" x14ac:dyDescent="0.4">
      <c r="A940" t="s">
        <v>1812</v>
      </c>
      <c r="B940" t="s">
        <v>1813</v>
      </c>
      <c r="C940" t="s">
        <v>56</v>
      </c>
      <c r="D940" s="2">
        <v>2</v>
      </c>
      <c r="E940" s="2">
        <v>62</v>
      </c>
      <c r="F940" s="3">
        <v>0.54500000000000004</v>
      </c>
      <c r="G940" s="3">
        <v>4.0899999999999999E-2</v>
      </c>
      <c r="H940" s="3">
        <v>2.8000000000000001E-2</v>
      </c>
      <c r="I940" s="3">
        <v>0</v>
      </c>
      <c r="J940" s="3" t="s">
        <v>48</v>
      </c>
      <c r="K940" s="2">
        <v>105</v>
      </c>
      <c r="L940" s="2">
        <v>157</v>
      </c>
      <c r="M940">
        <f t="shared" ca="1" si="14"/>
        <v>0.28684504685515277</v>
      </c>
    </row>
    <row r="941" spans="1:13" x14ac:dyDescent="0.4">
      <c r="A941" t="s">
        <v>1814</v>
      </c>
      <c r="B941" t="s">
        <v>1815</v>
      </c>
      <c r="C941" t="s">
        <v>56</v>
      </c>
      <c r="D941" s="2">
        <v>1</v>
      </c>
      <c r="E941" s="2">
        <v>55</v>
      </c>
      <c r="F941" s="3">
        <v>0.74199999999999999</v>
      </c>
      <c r="G941" s="3">
        <v>4.2799999999999998E-2</v>
      </c>
      <c r="H941" s="3">
        <v>4.3899999999999998E-3</v>
      </c>
      <c r="I941" s="4">
        <v>4.1100000000000003E-5</v>
      </c>
      <c r="J941" s="3" t="s">
        <v>48</v>
      </c>
      <c r="K941" s="2">
        <v>126</v>
      </c>
      <c r="L941" s="2">
        <v>253</v>
      </c>
      <c r="M941">
        <f t="shared" ca="1" si="14"/>
        <v>0.21906891498568437</v>
      </c>
    </row>
    <row r="942" spans="1:13" x14ac:dyDescent="0.4">
      <c r="A942" t="s">
        <v>1816</v>
      </c>
      <c r="B942" t="s">
        <v>1817</v>
      </c>
      <c r="C942" t="s">
        <v>66</v>
      </c>
      <c r="D942" s="2">
        <v>4</v>
      </c>
      <c r="E942" s="2">
        <v>47</v>
      </c>
      <c r="F942" s="3">
        <v>0.69499999999999995</v>
      </c>
      <c r="G942" s="3">
        <v>0.32900000000000001</v>
      </c>
      <c r="H942" s="3">
        <v>0.67800000000000005</v>
      </c>
      <c r="I942" s="3">
        <v>0</v>
      </c>
      <c r="J942" s="3" t="s">
        <v>48</v>
      </c>
      <c r="K942" s="2">
        <v>96</v>
      </c>
      <c r="L942" s="2">
        <v>224</v>
      </c>
      <c r="M942">
        <f t="shared" ca="1" si="14"/>
        <v>0.79495823288824907</v>
      </c>
    </row>
    <row r="943" spans="1:13" x14ac:dyDescent="0.4">
      <c r="A943" t="s">
        <v>1818</v>
      </c>
      <c r="B943" t="s">
        <v>1819</v>
      </c>
      <c r="C943" t="s">
        <v>47</v>
      </c>
      <c r="D943" s="2">
        <v>9</v>
      </c>
      <c r="E943" s="2">
        <v>67</v>
      </c>
      <c r="F943" s="3">
        <v>0.70699999999999996</v>
      </c>
      <c r="G943" s="3">
        <v>0.316</v>
      </c>
      <c r="H943" s="3">
        <v>0.1</v>
      </c>
      <c r="I943" s="3">
        <v>0</v>
      </c>
      <c r="J943" s="3" t="s">
        <v>48</v>
      </c>
      <c r="K943" s="2">
        <v>130</v>
      </c>
      <c r="L943" s="2">
        <v>199</v>
      </c>
      <c r="M943">
        <f t="shared" ca="1" si="14"/>
        <v>0.64745135958117384</v>
      </c>
    </row>
    <row r="944" spans="1:13" x14ac:dyDescent="0.4">
      <c r="A944" t="s">
        <v>1820</v>
      </c>
      <c r="B944" t="s">
        <v>1821</v>
      </c>
      <c r="C944" t="s">
        <v>66</v>
      </c>
      <c r="D944" s="2">
        <v>13</v>
      </c>
      <c r="E944" s="2">
        <v>25</v>
      </c>
      <c r="F944" s="3">
        <v>0.73299999999999998</v>
      </c>
      <c r="G944" s="3">
        <v>4.7699999999999999E-2</v>
      </c>
      <c r="H944" s="3">
        <v>7.0800000000000002E-2</v>
      </c>
      <c r="I944" s="4">
        <v>1.6700000000000001E-6</v>
      </c>
      <c r="J944" s="3" t="s">
        <v>48</v>
      </c>
      <c r="K944" s="2">
        <v>103</v>
      </c>
      <c r="L944" s="2">
        <v>335</v>
      </c>
      <c r="M944">
        <f t="shared" ca="1" si="14"/>
        <v>8.7482776643484139E-2</v>
      </c>
    </row>
    <row r="945" spans="1:13" x14ac:dyDescent="0.4">
      <c r="A945" t="s">
        <v>1822</v>
      </c>
      <c r="B945" t="s">
        <v>1823</v>
      </c>
      <c r="C945" t="s">
        <v>84</v>
      </c>
      <c r="D945" s="2">
        <v>1</v>
      </c>
      <c r="E945" s="2">
        <v>49</v>
      </c>
      <c r="F945" s="3">
        <v>0.877</v>
      </c>
      <c r="G945" s="3">
        <v>0.14699999999999999</v>
      </c>
      <c r="H945" s="3">
        <v>0.11</v>
      </c>
      <c r="I945" s="3">
        <v>0</v>
      </c>
      <c r="J945" s="3" t="s">
        <v>67</v>
      </c>
      <c r="K945" s="2">
        <v>120</v>
      </c>
      <c r="L945" s="2">
        <v>184</v>
      </c>
      <c r="M945">
        <f t="shared" ca="1" si="14"/>
        <v>0.27262249628397439</v>
      </c>
    </row>
    <row r="946" spans="1:13" x14ac:dyDescent="0.4">
      <c r="A946" t="s">
        <v>1824</v>
      </c>
      <c r="B946" t="s">
        <v>504</v>
      </c>
      <c r="C946" t="s">
        <v>47</v>
      </c>
      <c r="D946" s="2">
        <v>10</v>
      </c>
      <c r="E946" s="2">
        <v>72</v>
      </c>
      <c r="F946" s="3">
        <v>0.81299999999999994</v>
      </c>
      <c r="G946" s="3">
        <v>4.8599999999999997E-2</v>
      </c>
      <c r="H946" s="3">
        <v>7.5999999999999998E-2</v>
      </c>
      <c r="I946" s="4">
        <v>6.1600000000000001E-4</v>
      </c>
      <c r="J946" s="3" t="s">
        <v>48</v>
      </c>
      <c r="K946" s="2">
        <v>130</v>
      </c>
      <c r="L946" s="2">
        <v>196</v>
      </c>
      <c r="M946">
        <f t="shared" ca="1" si="14"/>
        <v>2.7805288089763347E-2</v>
      </c>
    </row>
    <row r="947" spans="1:13" x14ac:dyDescent="0.4">
      <c r="A947" t="s">
        <v>1825</v>
      </c>
      <c r="B947" t="s">
        <v>1826</v>
      </c>
      <c r="C947" t="s">
        <v>47</v>
      </c>
      <c r="D947" s="2">
        <v>3</v>
      </c>
      <c r="E947" s="2">
        <v>26</v>
      </c>
      <c r="F947" s="3">
        <v>0.76300000000000001</v>
      </c>
      <c r="G947" s="3">
        <v>0.104</v>
      </c>
      <c r="H947" s="3">
        <v>1.23E-2</v>
      </c>
      <c r="I947" s="4">
        <v>1.77E-6</v>
      </c>
      <c r="J947" s="3" t="s">
        <v>48</v>
      </c>
      <c r="K947" s="2">
        <v>112</v>
      </c>
      <c r="L947" s="2">
        <v>165</v>
      </c>
      <c r="M947">
        <f t="shared" ca="1" si="14"/>
        <v>0.78835969269462935</v>
      </c>
    </row>
    <row r="948" spans="1:13" x14ac:dyDescent="0.4">
      <c r="A948" t="s">
        <v>1827</v>
      </c>
      <c r="B948" t="s">
        <v>90</v>
      </c>
      <c r="C948" t="s">
        <v>53</v>
      </c>
      <c r="D948" s="2">
        <v>1</v>
      </c>
      <c r="E948" s="2">
        <v>57</v>
      </c>
      <c r="F948" s="3">
        <v>0.66800000000000004</v>
      </c>
      <c r="G948" s="3">
        <v>5.4800000000000001E-2</v>
      </c>
      <c r="H948" s="3">
        <v>0.373</v>
      </c>
      <c r="I948" s="3">
        <v>0</v>
      </c>
      <c r="J948" s="3" t="s">
        <v>48</v>
      </c>
      <c r="K948" s="2">
        <v>168</v>
      </c>
      <c r="L948" s="2">
        <v>222</v>
      </c>
      <c r="M948">
        <f t="shared" ca="1" si="14"/>
        <v>0.24718286388572008</v>
      </c>
    </row>
    <row r="949" spans="1:13" x14ac:dyDescent="0.4">
      <c r="A949" t="s">
        <v>1828</v>
      </c>
      <c r="B949" t="s">
        <v>1829</v>
      </c>
      <c r="C949" t="s">
        <v>56</v>
      </c>
      <c r="D949" s="2">
        <v>1</v>
      </c>
      <c r="E949" s="2">
        <v>34</v>
      </c>
      <c r="F949" s="3">
        <v>0.57199999999999995</v>
      </c>
      <c r="G949" s="3">
        <v>7.3300000000000004E-2</v>
      </c>
      <c r="H949" s="3">
        <v>3.4299999999999999E-3</v>
      </c>
      <c r="I949" s="3">
        <v>0.32</v>
      </c>
      <c r="J949" s="3" t="s">
        <v>48</v>
      </c>
      <c r="K949" s="2">
        <v>128</v>
      </c>
      <c r="L949" s="2">
        <v>152</v>
      </c>
      <c r="M949">
        <f t="shared" ca="1" si="14"/>
        <v>0.88171370308477293</v>
      </c>
    </row>
    <row r="950" spans="1:13" x14ac:dyDescent="0.4">
      <c r="A950" t="s">
        <v>1830</v>
      </c>
      <c r="B950" t="s">
        <v>1831</v>
      </c>
      <c r="C950" t="s">
        <v>66</v>
      </c>
      <c r="D950" s="2">
        <v>1</v>
      </c>
      <c r="E950" s="2">
        <v>47</v>
      </c>
      <c r="F950" s="3">
        <v>0.59799999999999998</v>
      </c>
      <c r="G950" s="3">
        <v>6.9500000000000006E-2</v>
      </c>
      <c r="H950" s="3">
        <v>0.52300000000000002</v>
      </c>
      <c r="I950" s="3">
        <v>0</v>
      </c>
      <c r="J950" s="3" t="s">
        <v>67</v>
      </c>
      <c r="K950" s="2">
        <v>60</v>
      </c>
      <c r="L950" s="2">
        <v>195</v>
      </c>
      <c r="M950">
        <f t="shared" ca="1" si="14"/>
        <v>0.56478544968797839</v>
      </c>
    </row>
    <row r="951" spans="1:13" x14ac:dyDescent="0.4">
      <c r="A951" t="s">
        <v>1832</v>
      </c>
      <c r="B951" t="s">
        <v>1833</v>
      </c>
      <c r="C951" t="s">
        <v>61</v>
      </c>
      <c r="D951" s="2">
        <v>34</v>
      </c>
      <c r="E951" s="2">
        <v>33</v>
      </c>
      <c r="F951" s="3">
        <v>0.435</v>
      </c>
      <c r="G951" s="3">
        <v>5.04E-2</v>
      </c>
      <c r="H951" s="3">
        <v>5.6599999999999998E-2</v>
      </c>
      <c r="I951" s="4">
        <v>7.8899999999999999E-4</v>
      </c>
      <c r="J951" s="3" t="s">
        <v>48</v>
      </c>
      <c r="K951" s="2">
        <v>142</v>
      </c>
      <c r="L951" s="2">
        <v>498</v>
      </c>
      <c r="M951">
        <f t="shared" ca="1" si="14"/>
        <v>0.40928690776781407</v>
      </c>
    </row>
    <row r="952" spans="1:13" x14ac:dyDescent="0.4">
      <c r="A952" t="s">
        <v>1834</v>
      </c>
      <c r="B952" t="s">
        <v>1835</v>
      </c>
      <c r="C952" t="s">
        <v>56</v>
      </c>
      <c r="D952" s="2">
        <v>9</v>
      </c>
      <c r="E952" s="2">
        <v>28</v>
      </c>
      <c r="F952" s="3">
        <v>0.74399999999999999</v>
      </c>
      <c r="G952" s="3">
        <v>7.3300000000000004E-2</v>
      </c>
      <c r="H952" s="3">
        <v>3.96E-3</v>
      </c>
      <c r="I952" s="3">
        <v>0.51200000000000001</v>
      </c>
      <c r="J952" s="3" t="s">
        <v>48</v>
      </c>
      <c r="K952" s="2">
        <v>128</v>
      </c>
      <c r="L952" s="2">
        <v>225</v>
      </c>
      <c r="M952">
        <f t="shared" ca="1" si="14"/>
        <v>0.86794494417129719</v>
      </c>
    </row>
    <row r="953" spans="1:13" x14ac:dyDescent="0.4">
      <c r="A953" t="s">
        <v>1836</v>
      </c>
      <c r="B953" t="s">
        <v>1837</v>
      </c>
      <c r="C953" t="s">
        <v>61</v>
      </c>
      <c r="D953" s="2">
        <v>9</v>
      </c>
      <c r="E953" s="2">
        <v>35</v>
      </c>
      <c r="F953" s="3">
        <v>0.74299999999999999</v>
      </c>
      <c r="G953" s="3">
        <v>3.5200000000000002E-2</v>
      </c>
      <c r="H953" s="4">
        <v>1.06E-4</v>
      </c>
      <c r="I953" s="3">
        <v>2.5300000000000001E-3</v>
      </c>
      <c r="J953" s="3" t="s">
        <v>48</v>
      </c>
      <c r="K953" s="2">
        <v>115</v>
      </c>
      <c r="L953" s="2">
        <v>385</v>
      </c>
      <c r="M953">
        <f t="shared" ca="1" si="14"/>
        <v>0.83039188675733688</v>
      </c>
    </row>
    <row r="954" spans="1:13" x14ac:dyDescent="0.4">
      <c r="A954" t="s">
        <v>1838</v>
      </c>
      <c r="B954" t="s">
        <v>319</v>
      </c>
      <c r="C954" t="s">
        <v>61</v>
      </c>
      <c r="D954" s="2">
        <v>22</v>
      </c>
      <c r="E954" s="2">
        <v>9</v>
      </c>
      <c r="F954" s="3">
        <v>0.54300000000000004</v>
      </c>
      <c r="G954" s="3">
        <v>5.1499999999999997E-2</v>
      </c>
      <c r="H954" s="3">
        <v>0.41099999999999998</v>
      </c>
      <c r="I954" s="3">
        <v>2.0500000000000002E-3</v>
      </c>
      <c r="J954" s="3" t="s">
        <v>48</v>
      </c>
      <c r="K954" s="2">
        <v>100</v>
      </c>
      <c r="L954" s="2">
        <v>279</v>
      </c>
      <c r="M954">
        <f t="shared" ca="1" si="14"/>
        <v>0.80362772181734121</v>
      </c>
    </row>
    <row r="955" spans="1:13" x14ac:dyDescent="0.4">
      <c r="A955" t="s">
        <v>1839</v>
      </c>
      <c r="B955" t="s">
        <v>1840</v>
      </c>
      <c r="C955" t="s">
        <v>66</v>
      </c>
      <c r="D955" s="2">
        <v>9</v>
      </c>
      <c r="E955" s="2">
        <v>24</v>
      </c>
      <c r="F955" s="3">
        <v>0.69599999999999995</v>
      </c>
      <c r="G955" s="3">
        <v>0.17599999999999999</v>
      </c>
      <c r="H955" s="3">
        <v>0.1</v>
      </c>
      <c r="I955" s="3">
        <v>0</v>
      </c>
      <c r="J955" s="3" t="s">
        <v>48</v>
      </c>
      <c r="K955" s="2">
        <v>103</v>
      </c>
      <c r="L955" s="2">
        <v>174</v>
      </c>
      <c r="M955">
        <f t="shared" ca="1" si="14"/>
        <v>0.54499281717407644</v>
      </c>
    </row>
    <row r="956" spans="1:13" x14ac:dyDescent="0.4">
      <c r="A956" t="s">
        <v>1841</v>
      </c>
      <c r="B956" t="s">
        <v>1842</v>
      </c>
      <c r="C956" t="s">
        <v>66</v>
      </c>
      <c r="D956" s="2">
        <v>10</v>
      </c>
      <c r="E956" s="2">
        <v>54</v>
      </c>
      <c r="F956" s="3">
        <v>0.63800000000000001</v>
      </c>
      <c r="G956" s="3">
        <v>5.2200000000000003E-2</v>
      </c>
      <c r="H956" s="3">
        <v>0.53600000000000003</v>
      </c>
      <c r="I956" s="3">
        <v>0</v>
      </c>
      <c r="J956" s="3" t="s">
        <v>67</v>
      </c>
      <c r="K956" s="2">
        <v>94</v>
      </c>
      <c r="L956" s="2">
        <v>265</v>
      </c>
      <c r="M956">
        <f t="shared" ca="1" si="14"/>
        <v>0.5490107621017043</v>
      </c>
    </row>
    <row r="957" spans="1:13" x14ac:dyDescent="0.4">
      <c r="A957" t="s">
        <v>1843</v>
      </c>
      <c r="B957" t="s">
        <v>1844</v>
      </c>
      <c r="C957" t="s">
        <v>61</v>
      </c>
      <c r="D957" s="2">
        <v>11</v>
      </c>
      <c r="E957" s="2">
        <v>60</v>
      </c>
      <c r="F957" s="3">
        <v>0.54</v>
      </c>
      <c r="G957" s="3">
        <v>3.2399999999999998E-2</v>
      </c>
      <c r="H957" s="3">
        <v>1.8700000000000001E-2</v>
      </c>
      <c r="I957" s="4">
        <v>3.1900000000000003E-5</v>
      </c>
      <c r="J957" s="3" t="s">
        <v>48</v>
      </c>
      <c r="K957" s="2">
        <v>108</v>
      </c>
      <c r="L957" s="2">
        <v>281</v>
      </c>
      <c r="M957">
        <f t="shared" ca="1" si="14"/>
        <v>0.20969082419370588</v>
      </c>
    </row>
    <row r="958" spans="1:13" x14ac:dyDescent="0.4">
      <c r="A958" t="s">
        <v>1845</v>
      </c>
      <c r="B958" t="s">
        <v>1846</v>
      </c>
      <c r="C958" t="s">
        <v>47</v>
      </c>
      <c r="D958" s="2">
        <v>16</v>
      </c>
      <c r="E958" s="2">
        <v>63</v>
      </c>
      <c r="F958" s="3">
        <v>0.72399999999999998</v>
      </c>
      <c r="G958" s="3">
        <v>9.9500000000000005E-2</v>
      </c>
      <c r="H958" s="3">
        <v>3.4399999999999999E-3</v>
      </c>
      <c r="I958" s="4">
        <v>4.6600000000000001E-5</v>
      </c>
      <c r="J958" s="3" t="s">
        <v>48</v>
      </c>
      <c r="K958" s="2">
        <v>103</v>
      </c>
      <c r="L958" s="2">
        <v>205</v>
      </c>
      <c r="M958">
        <f t="shared" ca="1" si="14"/>
        <v>0.28022649973137082</v>
      </c>
    </row>
    <row r="959" spans="1:13" x14ac:dyDescent="0.4">
      <c r="A959" t="s">
        <v>1847</v>
      </c>
      <c r="B959" t="s">
        <v>1848</v>
      </c>
      <c r="C959" t="s">
        <v>61</v>
      </c>
      <c r="D959" s="2">
        <v>35</v>
      </c>
      <c r="E959" s="2">
        <v>45</v>
      </c>
      <c r="F959" s="3">
        <v>0.39200000000000002</v>
      </c>
      <c r="G959" s="3">
        <v>3.73E-2</v>
      </c>
      <c r="H959" s="3">
        <v>1.0200000000000001E-2</v>
      </c>
      <c r="I959" s="4">
        <v>1.7799999999999999E-6</v>
      </c>
      <c r="J959" s="3" t="s">
        <v>48</v>
      </c>
      <c r="K959" s="2">
        <v>129</v>
      </c>
      <c r="L959" s="2">
        <v>207</v>
      </c>
      <c r="M959">
        <f t="shared" ca="1" si="14"/>
        <v>0.14819006204653062</v>
      </c>
    </row>
    <row r="960" spans="1:13" x14ac:dyDescent="0.4">
      <c r="A960" t="s">
        <v>1849</v>
      </c>
      <c r="B960" t="s">
        <v>1850</v>
      </c>
      <c r="C960" t="s">
        <v>56</v>
      </c>
      <c r="D960" s="2">
        <v>1</v>
      </c>
      <c r="E960" s="2">
        <v>36</v>
      </c>
      <c r="F960" s="3">
        <v>0.69699999999999995</v>
      </c>
      <c r="G960" s="3">
        <v>4.2500000000000003E-2</v>
      </c>
      <c r="H960" s="3">
        <v>0.316</v>
      </c>
      <c r="I960" s="3">
        <v>3.9500000000000004E-3</v>
      </c>
      <c r="J960" s="3" t="s">
        <v>67</v>
      </c>
      <c r="K960" s="2">
        <v>122</v>
      </c>
      <c r="L960" s="2">
        <v>288</v>
      </c>
      <c r="M960">
        <f t="shared" ca="1" si="14"/>
        <v>0.1979879705629185</v>
      </c>
    </row>
    <row r="961" spans="1:13" x14ac:dyDescent="0.4">
      <c r="A961" t="s">
        <v>1851</v>
      </c>
      <c r="B961" t="s">
        <v>1852</v>
      </c>
      <c r="C961" t="s">
        <v>56</v>
      </c>
      <c r="D961" s="2">
        <v>7</v>
      </c>
      <c r="E961" s="2">
        <v>6</v>
      </c>
      <c r="F961" s="3">
        <v>0.64100000000000001</v>
      </c>
      <c r="G961" s="3">
        <v>8.3799999999999999E-2</v>
      </c>
      <c r="H961" s="4">
        <v>5.2999999999999998E-4</v>
      </c>
      <c r="I961" s="3">
        <v>0.17</v>
      </c>
      <c r="J961" s="3" t="s">
        <v>48</v>
      </c>
      <c r="K961" s="2">
        <v>125</v>
      </c>
      <c r="L961" s="2">
        <v>376</v>
      </c>
      <c r="M961">
        <f t="shared" ca="1" si="14"/>
        <v>0.58990989126893789</v>
      </c>
    </row>
    <row r="962" spans="1:13" x14ac:dyDescent="0.4">
      <c r="A962" t="s">
        <v>1853</v>
      </c>
      <c r="B962" t="s">
        <v>1854</v>
      </c>
      <c r="C962" t="s">
        <v>84</v>
      </c>
      <c r="D962" s="2">
        <v>24</v>
      </c>
      <c r="E962" s="2">
        <v>61</v>
      </c>
      <c r="F962" s="3">
        <v>0.76900000000000002</v>
      </c>
      <c r="G962" s="3">
        <v>0.32400000000000001</v>
      </c>
      <c r="H962" s="3">
        <v>3.1E-2</v>
      </c>
      <c r="I962" s="4">
        <v>2.79E-6</v>
      </c>
      <c r="J962" s="3" t="s">
        <v>48</v>
      </c>
      <c r="K962" s="2">
        <v>90</v>
      </c>
      <c r="L962" s="2">
        <v>243</v>
      </c>
      <c r="M962">
        <f t="shared" ref="M962:M978" ca="1" si="15">RAND()</f>
        <v>0.21513748621621409</v>
      </c>
    </row>
    <row r="963" spans="1:13" x14ac:dyDescent="0.4">
      <c r="A963" t="s">
        <v>1855</v>
      </c>
      <c r="B963" t="s">
        <v>1856</v>
      </c>
      <c r="C963" t="s">
        <v>56</v>
      </c>
      <c r="D963" s="2">
        <v>1</v>
      </c>
      <c r="E963" s="2">
        <v>36</v>
      </c>
      <c r="F963" s="3">
        <v>0.65400000000000003</v>
      </c>
      <c r="G963" s="3">
        <v>9.3200000000000005E-2</v>
      </c>
      <c r="H963" s="3">
        <v>7.3599999999999999E-2</v>
      </c>
      <c r="I963" s="4">
        <v>1.38E-5</v>
      </c>
      <c r="J963" s="3" t="s">
        <v>48</v>
      </c>
      <c r="K963" s="2">
        <v>98</v>
      </c>
      <c r="L963" s="2">
        <v>200</v>
      </c>
      <c r="M963">
        <f t="shared" ca="1" si="15"/>
        <v>0.91704969595250418</v>
      </c>
    </row>
    <row r="964" spans="1:13" x14ac:dyDescent="0.4">
      <c r="A964" t="s">
        <v>1857</v>
      </c>
      <c r="B964" t="s">
        <v>1858</v>
      </c>
      <c r="C964" t="s">
        <v>53</v>
      </c>
      <c r="D964" s="2">
        <v>13</v>
      </c>
      <c r="E964" s="2">
        <v>49</v>
      </c>
      <c r="F964" s="3">
        <v>0.32800000000000001</v>
      </c>
      <c r="G964" s="3">
        <v>3.2899999999999999E-2</v>
      </c>
      <c r="H964" s="3">
        <v>0.76700000000000002</v>
      </c>
      <c r="I964" s="3">
        <v>0</v>
      </c>
      <c r="J964" s="3" t="s">
        <v>48</v>
      </c>
      <c r="K964" s="2">
        <v>124</v>
      </c>
      <c r="L964" s="2">
        <v>270</v>
      </c>
      <c r="M964">
        <f t="shared" ca="1" si="15"/>
        <v>0.88675127012977151</v>
      </c>
    </row>
    <row r="965" spans="1:13" x14ac:dyDescent="0.4">
      <c r="A965" t="s">
        <v>1859</v>
      </c>
      <c r="B965" t="s">
        <v>1860</v>
      </c>
      <c r="C965" t="s">
        <v>56</v>
      </c>
      <c r="D965" s="2">
        <v>1</v>
      </c>
      <c r="E965" s="2">
        <v>39</v>
      </c>
      <c r="F965" s="3">
        <v>0.60299999999999998</v>
      </c>
      <c r="G965" s="3">
        <v>4.19E-2</v>
      </c>
      <c r="H965" s="3">
        <v>2.0400000000000001E-3</v>
      </c>
      <c r="I965" s="4">
        <v>8.0800000000000002E-4</v>
      </c>
      <c r="J965" s="3" t="s">
        <v>48</v>
      </c>
      <c r="K965" s="2">
        <v>124</v>
      </c>
      <c r="L965" s="2">
        <v>246</v>
      </c>
      <c r="M965">
        <f t="shared" ca="1" si="15"/>
        <v>0.54250063016788486</v>
      </c>
    </row>
    <row r="966" spans="1:13" x14ac:dyDescent="0.4">
      <c r="A966" t="s">
        <v>1861</v>
      </c>
      <c r="B966" t="s">
        <v>1328</v>
      </c>
      <c r="C966" t="s">
        <v>53</v>
      </c>
      <c r="D966" s="2">
        <v>5</v>
      </c>
      <c r="E966" s="2">
        <v>52</v>
      </c>
      <c r="F966" s="3">
        <v>0.69099999999999995</v>
      </c>
      <c r="G966" s="3">
        <v>5.3600000000000002E-2</v>
      </c>
      <c r="H966" s="3">
        <v>2.06E-2</v>
      </c>
      <c r="I966" s="3">
        <v>0</v>
      </c>
      <c r="J966" s="3" t="s">
        <v>48</v>
      </c>
      <c r="K966" s="2">
        <v>115</v>
      </c>
      <c r="L966" s="2">
        <v>211</v>
      </c>
      <c r="M966">
        <f t="shared" ca="1" si="15"/>
        <v>0.23804313120875709</v>
      </c>
    </row>
    <row r="967" spans="1:13" x14ac:dyDescent="0.4">
      <c r="A967" t="s">
        <v>1862</v>
      </c>
      <c r="B967" t="s">
        <v>1863</v>
      </c>
      <c r="C967" t="s">
        <v>66</v>
      </c>
      <c r="D967" s="2">
        <v>28</v>
      </c>
      <c r="E967" s="2">
        <v>42</v>
      </c>
      <c r="F967" s="3">
        <v>0.51800000000000002</v>
      </c>
      <c r="G967" s="3">
        <v>5.7000000000000002E-2</v>
      </c>
      <c r="H967" s="3">
        <v>7.6800000000000002E-3</v>
      </c>
      <c r="I967" s="3">
        <v>0</v>
      </c>
      <c r="J967" s="3" t="s">
        <v>48</v>
      </c>
      <c r="K967" s="2">
        <v>200</v>
      </c>
      <c r="L967" s="2">
        <v>275</v>
      </c>
      <c r="M967">
        <f t="shared" ca="1" si="15"/>
        <v>0.62634410519282491</v>
      </c>
    </row>
    <row r="968" spans="1:13" x14ac:dyDescent="0.4">
      <c r="A968" t="s">
        <v>1864</v>
      </c>
      <c r="B968" t="s">
        <v>1865</v>
      </c>
      <c r="C968" t="s">
        <v>61</v>
      </c>
      <c r="D968" s="2">
        <v>48</v>
      </c>
      <c r="E968" s="2">
        <v>39</v>
      </c>
      <c r="F968" s="3">
        <v>0.61199999999999999</v>
      </c>
      <c r="G968" s="3">
        <v>2.8299999999999999E-2</v>
      </c>
      <c r="H968" s="3">
        <v>0.104</v>
      </c>
      <c r="I968" s="4">
        <v>2.0000000000000001E-4</v>
      </c>
      <c r="J968" s="3" t="s">
        <v>48</v>
      </c>
      <c r="K968" s="2">
        <v>131</v>
      </c>
      <c r="L968" s="2">
        <v>212</v>
      </c>
      <c r="M968">
        <f t="shared" ca="1" si="15"/>
        <v>0.70573590830781596</v>
      </c>
    </row>
    <row r="969" spans="1:13" x14ac:dyDescent="0.4">
      <c r="A969" t="s">
        <v>1866</v>
      </c>
      <c r="B969" t="s">
        <v>58</v>
      </c>
      <c r="C969" t="s">
        <v>53</v>
      </c>
      <c r="D969" s="2">
        <v>14</v>
      </c>
      <c r="E969" s="2">
        <v>67</v>
      </c>
      <c r="F969" s="3">
        <v>0.66200000000000003</v>
      </c>
      <c r="G969" s="3">
        <v>0.251</v>
      </c>
      <c r="H969" s="3">
        <v>0.318</v>
      </c>
      <c r="I969" s="3">
        <v>0</v>
      </c>
      <c r="J969" s="3" t="s">
        <v>48</v>
      </c>
      <c r="K969" s="2">
        <v>91</v>
      </c>
      <c r="L969" s="2">
        <v>305</v>
      </c>
      <c r="M969">
        <f t="shared" ca="1" si="15"/>
        <v>0.90566911361554747</v>
      </c>
    </row>
    <row r="970" spans="1:13" x14ac:dyDescent="0.4">
      <c r="A970" t="s">
        <v>1867</v>
      </c>
      <c r="B970" t="s">
        <v>1868</v>
      </c>
      <c r="C970" t="s">
        <v>66</v>
      </c>
      <c r="D970" s="2">
        <v>13</v>
      </c>
      <c r="E970" s="2">
        <v>54</v>
      </c>
      <c r="F970" s="3">
        <v>0.83199999999999996</v>
      </c>
      <c r="G970" s="3">
        <v>6.2899999999999998E-2</v>
      </c>
      <c r="H970" s="3">
        <v>5.6399999999999999E-2</v>
      </c>
      <c r="I970" s="3">
        <v>0</v>
      </c>
      <c r="J970" s="3" t="s">
        <v>67</v>
      </c>
      <c r="K970" s="2">
        <v>105</v>
      </c>
      <c r="L970" s="2">
        <v>239</v>
      </c>
      <c r="M970">
        <f t="shared" ca="1" si="15"/>
        <v>0.29318946821957481</v>
      </c>
    </row>
    <row r="971" spans="1:13" x14ac:dyDescent="0.4">
      <c r="A971" t="s">
        <v>1869</v>
      </c>
      <c r="B971" t="s">
        <v>1870</v>
      </c>
      <c r="C971" t="s">
        <v>84</v>
      </c>
      <c r="D971" s="2">
        <v>16</v>
      </c>
      <c r="E971" s="2">
        <v>6</v>
      </c>
      <c r="F971" s="3">
        <v>0.83499999999999996</v>
      </c>
      <c r="G971" s="3">
        <v>0.19900000000000001</v>
      </c>
      <c r="H971" s="3">
        <v>3.56E-2</v>
      </c>
      <c r="I971" s="3">
        <v>0</v>
      </c>
      <c r="J971" s="3" t="s">
        <v>48</v>
      </c>
      <c r="K971" s="2">
        <v>106</v>
      </c>
      <c r="L971" s="2">
        <v>236</v>
      </c>
      <c r="M971">
        <f t="shared" ca="1" si="15"/>
        <v>0.33833277080613633</v>
      </c>
    </row>
    <row r="972" spans="1:13" x14ac:dyDescent="0.4">
      <c r="A972" t="s">
        <v>1871</v>
      </c>
      <c r="B972" t="s">
        <v>1872</v>
      </c>
      <c r="C972" t="s">
        <v>61</v>
      </c>
      <c r="D972" s="2">
        <v>0</v>
      </c>
      <c r="E972" s="2">
        <v>32</v>
      </c>
      <c r="F972" s="3">
        <v>0.626</v>
      </c>
      <c r="G972" s="3">
        <v>4.4299999999999999E-2</v>
      </c>
      <c r="H972" s="3">
        <v>2.63E-2</v>
      </c>
      <c r="I972" s="4">
        <v>2.6400000000000001E-5</v>
      </c>
      <c r="J972" s="3" t="s">
        <v>48</v>
      </c>
      <c r="K972" s="2">
        <v>150</v>
      </c>
      <c r="L972" s="2">
        <v>197</v>
      </c>
      <c r="M972">
        <f t="shared" ca="1" si="15"/>
        <v>0.46950061771410001</v>
      </c>
    </row>
    <row r="973" spans="1:13" x14ac:dyDescent="0.4">
      <c r="A973" t="s">
        <v>1873</v>
      </c>
      <c r="B973" t="s">
        <v>1874</v>
      </c>
      <c r="C973" t="s">
        <v>84</v>
      </c>
      <c r="D973" s="2">
        <v>15</v>
      </c>
      <c r="E973" s="2">
        <v>49</v>
      </c>
      <c r="F973" s="3">
        <v>0.85899999999999999</v>
      </c>
      <c r="G973" s="3">
        <v>0.26600000000000001</v>
      </c>
      <c r="H973" s="3">
        <v>3.82E-3</v>
      </c>
      <c r="I973" s="3">
        <v>0</v>
      </c>
      <c r="J973" s="3" t="s">
        <v>48</v>
      </c>
      <c r="K973" s="2">
        <v>167</v>
      </c>
      <c r="L973" s="2">
        <v>274</v>
      </c>
      <c r="M973">
        <f t="shared" ca="1" si="15"/>
        <v>0.58181555376718619</v>
      </c>
    </row>
    <row r="974" spans="1:13" x14ac:dyDescent="0.4">
      <c r="A974" t="s">
        <v>1875</v>
      </c>
      <c r="B974" t="s">
        <v>1876</v>
      </c>
      <c r="C974" t="s">
        <v>56</v>
      </c>
      <c r="D974" s="2">
        <v>1</v>
      </c>
      <c r="E974" s="2">
        <v>48</v>
      </c>
      <c r="F974" s="3">
        <v>0.55600000000000005</v>
      </c>
      <c r="G974" s="3">
        <v>0.154</v>
      </c>
      <c r="H974" s="3">
        <v>5.5900000000000004E-3</v>
      </c>
      <c r="I974" s="4">
        <v>2.8200000000000002E-4</v>
      </c>
      <c r="J974" s="3" t="s">
        <v>48</v>
      </c>
      <c r="K974" s="2">
        <v>128</v>
      </c>
      <c r="L974" s="2">
        <v>198</v>
      </c>
      <c r="M974">
        <f t="shared" ca="1" si="15"/>
        <v>0.46178779161823513</v>
      </c>
    </row>
    <row r="975" spans="1:13" x14ac:dyDescent="0.4">
      <c r="A975" t="s">
        <v>1877</v>
      </c>
      <c r="B975" t="s">
        <v>1878</v>
      </c>
      <c r="C975" t="s">
        <v>56</v>
      </c>
      <c r="D975" s="2">
        <v>6</v>
      </c>
      <c r="E975" s="2">
        <v>1</v>
      </c>
      <c r="F975" s="3">
        <v>0.746</v>
      </c>
      <c r="G975" s="3">
        <v>4.24E-2</v>
      </c>
      <c r="H975" s="3">
        <v>7.8E-2</v>
      </c>
      <c r="I975" s="3">
        <v>0.88100000000000001</v>
      </c>
      <c r="J975" s="3" t="s">
        <v>48</v>
      </c>
      <c r="K975" s="2">
        <v>128</v>
      </c>
      <c r="L975" s="2">
        <v>336</v>
      </c>
      <c r="M975">
        <f t="shared" ca="1" si="15"/>
        <v>0.31679926199063202</v>
      </c>
    </row>
    <row r="976" spans="1:13" x14ac:dyDescent="0.4">
      <c r="A976" t="s">
        <v>1879</v>
      </c>
      <c r="B976" t="s">
        <v>1880</v>
      </c>
      <c r="C976" t="s">
        <v>66</v>
      </c>
      <c r="D976" s="2">
        <v>1</v>
      </c>
      <c r="E976" s="2">
        <v>26</v>
      </c>
      <c r="F976" s="3">
        <v>0.30499999999999999</v>
      </c>
      <c r="G976" s="3">
        <v>3.7199999999999997E-2</v>
      </c>
      <c r="H976" s="3">
        <v>0.27800000000000002</v>
      </c>
      <c r="I976" s="4">
        <v>6.3299999999999994E-5</v>
      </c>
      <c r="J976" s="3" t="s">
        <v>48</v>
      </c>
      <c r="K976" s="2">
        <v>138</v>
      </c>
      <c r="L976" s="2">
        <v>285</v>
      </c>
      <c r="M976">
        <f t="shared" ca="1" si="15"/>
        <v>0.35718627718681839</v>
      </c>
    </row>
    <row r="977" spans="1:13" x14ac:dyDescent="0.4">
      <c r="A977" t="s">
        <v>1881</v>
      </c>
      <c r="B977" t="s">
        <v>1882</v>
      </c>
      <c r="C977" t="s">
        <v>47</v>
      </c>
      <c r="D977" s="2">
        <v>3</v>
      </c>
      <c r="E977" s="2">
        <v>9</v>
      </c>
      <c r="F977" s="3">
        <v>0.78400000000000003</v>
      </c>
      <c r="G977" s="3">
        <v>0.10199999999999999</v>
      </c>
      <c r="H977" s="3">
        <v>4.9200000000000001E-2</v>
      </c>
      <c r="I977" s="3">
        <v>0</v>
      </c>
      <c r="J977" s="3" t="s">
        <v>48</v>
      </c>
      <c r="K977" s="2">
        <v>125</v>
      </c>
      <c r="L977" s="2">
        <v>204</v>
      </c>
      <c r="M977">
        <f t="shared" ca="1" si="15"/>
        <v>0.48330495719577504</v>
      </c>
    </row>
    <row r="978" spans="1:13" x14ac:dyDescent="0.4">
      <c r="A978" t="s">
        <v>1883</v>
      </c>
      <c r="B978" t="s">
        <v>1884</v>
      </c>
      <c r="C978" t="s">
        <v>66</v>
      </c>
      <c r="D978" s="2">
        <v>7</v>
      </c>
      <c r="E978" s="2">
        <v>44</v>
      </c>
      <c r="F978" s="3">
        <v>0.73099999999999998</v>
      </c>
      <c r="G978" s="3">
        <v>5.79E-2</v>
      </c>
      <c r="H978" s="3">
        <v>2.7799999999999998E-2</v>
      </c>
      <c r="I978" s="3">
        <v>0</v>
      </c>
      <c r="J978" s="3" t="s">
        <v>48</v>
      </c>
      <c r="K978" s="2">
        <v>147</v>
      </c>
      <c r="L978" s="2">
        <v>173</v>
      </c>
      <c r="M978">
        <f t="shared" ca="1" si="15"/>
        <v>0.9317126463792913</v>
      </c>
    </row>
    <row r="1011" spans="6:9" x14ac:dyDescent="0.4">
      <c r="F1011" s="1"/>
    </row>
    <row r="1012" spans="6:9" x14ac:dyDescent="0.4">
      <c r="I1012" s="1"/>
    </row>
    <row r="1023" spans="6:9" x14ac:dyDescent="0.4">
      <c r="I1023" s="1"/>
    </row>
    <row r="1030" spans="9:9" x14ac:dyDescent="0.4">
      <c r="I1030" s="1"/>
    </row>
    <row r="1031" spans="9:9" x14ac:dyDescent="0.4">
      <c r="I1031" s="1"/>
    </row>
    <row r="1032" spans="9:9" x14ac:dyDescent="0.4">
      <c r="I1032" s="1"/>
    </row>
    <row r="1034" spans="9:9" x14ac:dyDescent="0.4">
      <c r="I1034" s="1"/>
    </row>
    <row r="1046" spans="9:9" x14ac:dyDescent="0.4">
      <c r="I1046" s="1"/>
    </row>
    <row r="1049" spans="9:9" x14ac:dyDescent="0.4">
      <c r="I1049" s="1"/>
    </row>
    <row r="1057" spans="9:9" x14ac:dyDescent="0.4">
      <c r="I1057" s="1"/>
    </row>
    <row r="1060" spans="9:9" x14ac:dyDescent="0.4">
      <c r="I1060" s="1"/>
    </row>
    <row r="1067" spans="9:9" x14ac:dyDescent="0.4">
      <c r="I1067" s="1"/>
    </row>
    <row r="1069" spans="9:9" x14ac:dyDescent="0.4">
      <c r="I1069" s="1"/>
    </row>
    <row r="1072" spans="9:9" x14ac:dyDescent="0.4">
      <c r="I1072" s="1"/>
    </row>
    <row r="1080" spans="9:9" x14ac:dyDescent="0.4">
      <c r="I1080" s="1"/>
    </row>
    <row r="1084" spans="9:9" x14ac:dyDescent="0.4">
      <c r="I1084" s="1"/>
    </row>
    <row r="1085" spans="9:9" x14ac:dyDescent="0.4">
      <c r="I1085" s="1"/>
    </row>
    <row r="1087" spans="9:9" x14ac:dyDescent="0.4">
      <c r="I1087" s="1"/>
    </row>
    <row r="1088" spans="9:9" x14ac:dyDescent="0.4">
      <c r="I1088" s="1"/>
    </row>
    <row r="1092" spans="6:9" x14ac:dyDescent="0.4">
      <c r="I1092" s="1"/>
    </row>
    <row r="1096" spans="6:9" x14ac:dyDescent="0.4">
      <c r="I1096" s="1"/>
    </row>
    <row r="1099" spans="6:9" x14ac:dyDescent="0.4">
      <c r="I1099" s="1"/>
    </row>
    <row r="1101" spans="6:9" x14ac:dyDescent="0.4">
      <c r="F1101" s="1"/>
    </row>
    <row r="1102" spans="6:9" x14ac:dyDescent="0.4">
      <c r="I1102" s="1"/>
    </row>
    <row r="1105" spans="9:9" x14ac:dyDescent="0.4">
      <c r="I1105" s="1"/>
    </row>
    <row r="1106" spans="9:9" x14ac:dyDescent="0.4">
      <c r="I1106" s="1"/>
    </row>
    <row r="1108" spans="9:9" x14ac:dyDescent="0.4">
      <c r="I1108" s="1"/>
    </row>
    <row r="1119" spans="9:9" x14ac:dyDescent="0.4">
      <c r="I1119" s="1"/>
    </row>
    <row r="1122" spans="9:9" x14ac:dyDescent="0.4">
      <c r="I1122" s="1"/>
    </row>
    <row r="1123" spans="9:9" x14ac:dyDescent="0.4">
      <c r="I1123" s="1"/>
    </row>
    <row r="1127" spans="9:9" x14ac:dyDescent="0.4">
      <c r="I1127" s="1"/>
    </row>
    <row r="1130" spans="9:9" x14ac:dyDescent="0.4">
      <c r="I1130" s="1"/>
    </row>
    <row r="1137" spans="9:9" x14ac:dyDescent="0.4">
      <c r="I1137" s="1"/>
    </row>
    <row r="1141" spans="9:9" x14ac:dyDescent="0.4">
      <c r="I1141" s="1"/>
    </row>
    <row r="1142" spans="9:9" x14ac:dyDescent="0.4">
      <c r="I1142" s="1"/>
    </row>
    <row r="1143" spans="9:9" x14ac:dyDescent="0.4">
      <c r="I1143" s="1"/>
    </row>
    <row r="1160" spans="9:9" x14ac:dyDescent="0.4">
      <c r="I1160" s="1"/>
    </row>
    <row r="1162" spans="9:9" x14ac:dyDescent="0.4">
      <c r="I1162" s="1"/>
    </row>
    <row r="1163" spans="9:9" x14ac:dyDescent="0.4">
      <c r="I1163" s="1"/>
    </row>
    <row r="1168" spans="9:9" x14ac:dyDescent="0.4">
      <c r="I1168" s="1"/>
    </row>
    <row r="1182" spans="9:9" x14ac:dyDescent="0.4">
      <c r="I1182" s="1"/>
    </row>
    <row r="1185" spans="9:9" x14ac:dyDescent="0.4">
      <c r="I1185" s="1"/>
    </row>
    <row r="1189" spans="9:9" x14ac:dyDescent="0.4">
      <c r="I1189" s="1"/>
    </row>
    <row r="1201" spans="9:9" x14ac:dyDescent="0.4">
      <c r="I1201" s="1"/>
    </row>
    <row r="1204" spans="9:9" x14ac:dyDescent="0.4">
      <c r="I1204" s="1"/>
    </row>
    <row r="1210" spans="9:9" x14ac:dyDescent="0.4">
      <c r="I1210" s="1"/>
    </row>
    <row r="1211" spans="9:9" x14ac:dyDescent="0.4">
      <c r="I1211" s="1"/>
    </row>
    <row r="1215" spans="9:9" x14ac:dyDescent="0.4">
      <c r="I1215" s="1"/>
    </row>
    <row r="1217" spans="9:9" x14ac:dyDescent="0.4">
      <c r="I1217" s="1"/>
    </row>
    <row r="1219" spans="9:9" x14ac:dyDescent="0.4">
      <c r="I1219" s="1"/>
    </row>
    <row r="1221" spans="9:9" x14ac:dyDescent="0.4">
      <c r="I1221" s="1"/>
    </row>
    <row r="1222" spans="9:9" x14ac:dyDescent="0.4">
      <c r="I1222" s="1"/>
    </row>
    <row r="1224" spans="9:9" x14ac:dyDescent="0.4">
      <c r="I1224" s="1"/>
    </row>
    <row r="1229" spans="9:9" x14ac:dyDescent="0.4">
      <c r="I1229" s="1"/>
    </row>
    <row r="1233" spans="9:9" x14ac:dyDescent="0.4">
      <c r="I1233" s="1"/>
    </row>
    <row r="1236" spans="9:9" x14ac:dyDescent="0.4">
      <c r="I1236" s="1"/>
    </row>
    <row r="1238" spans="9:9" x14ac:dyDescent="0.4">
      <c r="I1238" s="1"/>
    </row>
    <row r="1240" spans="9:9" x14ac:dyDescent="0.4">
      <c r="I1240" s="1"/>
    </row>
    <row r="1244" spans="9:9" x14ac:dyDescent="0.4">
      <c r="I1244" s="1"/>
    </row>
    <row r="1245" spans="9:9" x14ac:dyDescent="0.4">
      <c r="I1245" s="1"/>
    </row>
    <row r="1256" spans="9:9" x14ac:dyDescent="0.4">
      <c r="I1256" s="1"/>
    </row>
    <row r="1259" spans="9:9" x14ac:dyDescent="0.4">
      <c r="I1259" s="1"/>
    </row>
    <row r="1262" spans="9:9" x14ac:dyDescent="0.4">
      <c r="I1262" s="1"/>
    </row>
    <row r="1276" spans="9:9" x14ac:dyDescent="0.4">
      <c r="I1276" s="1"/>
    </row>
    <row r="1278" spans="9:9" x14ac:dyDescent="0.4">
      <c r="I1278" s="1"/>
    </row>
    <row r="1280" spans="9:9" x14ac:dyDescent="0.4">
      <c r="I1280" s="1"/>
    </row>
    <row r="1290" spans="9:9" x14ac:dyDescent="0.4">
      <c r="I1290" s="1"/>
    </row>
    <row r="1291" spans="9:9" x14ac:dyDescent="0.4">
      <c r="I1291" s="1"/>
    </row>
    <row r="1293" spans="9:9" x14ac:dyDescent="0.4">
      <c r="I1293" s="1"/>
    </row>
    <row r="1297" spans="9:9" x14ac:dyDescent="0.4">
      <c r="I1297" s="1"/>
    </row>
    <row r="1299" spans="9:9" x14ac:dyDescent="0.4">
      <c r="I1299" s="1"/>
    </row>
    <row r="1300" spans="9:9" x14ac:dyDescent="0.4">
      <c r="I1300" s="1"/>
    </row>
    <row r="1304" spans="9:9" x14ac:dyDescent="0.4">
      <c r="I1304" s="1"/>
    </row>
    <row r="1311" spans="9:9" x14ac:dyDescent="0.4">
      <c r="I1311" s="1"/>
    </row>
    <row r="1323" spans="9:9" x14ac:dyDescent="0.4">
      <c r="I1323" s="1"/>
    </row>
    <row r="1334" spans="6:6" x14ac:dyDescent="0.4">
      <c r="F1334" s="1"/>
    </row>
    <row r="1378" spans="9:9" x14ac:dyDescent="0.4">
      <c r="I1378" s="1"/>
    </row>
    <row r="1389" spans="9:9" x14ac:dyDescent="0.4">
      <c r="I1389" s="1"/>
    </row>
    <row r="1400" spans="9:9" x14ac:dyDescent="0.4">
      <c r="I1400" s="1"/>
    </row>
    <row r="1410" spans="9:9" x14ac:dyDescent="0.4">
      <c r="I1410" s="1"/>
    </row>
    <row r="1418" spans="9:9" x14ac:dyDescent="0.4">
      <c r="I1418" s="1"/>
    </row>
    <row r="1426" spans="9:9" x14ac:dyDescent="0.4">
      <c r="I1426" s="1"/>
    </row>
    <row r="1434" spans="9:9" x14ac:dyDescent="0.4">
      <c r="I1434" s="1"/>
    </row>
    <row r="1436" spans="9:9" x14ac:dyDescent="0.4">
      <c r="I1436" s="1"/>
    </row>
    <row r="1439" spans="9:9" x14ac:dyDescent="0.4">
      <c r="I1439" s="1"/>
    </row>
    <row r="1442" spans="9:9" x14ac:dyDescent="0.4">
      <c r="I1442" s="1"/>
    </row>
    <row r="1445" spans="9:9" x14ac:dyDescent="0.4">
      <c r="I1445" s="1"/>
    </row>
    <row r="1446" spans="9:9" x14ac:dyDescent="0.4">
      <c r="I1446" s="1"/>
    </row>
    <row r="1449" spans="9:9" x14ac:dyDescent="0.4">
      <c r="I1449" s="1"/>
    </row>
    <row r="1453" spans="9:9" x14ac:dyDescent="0.4">
      <c r="I1453" s="1"/>
    </row>
    <row r="1455" spans="9:9" x14ac:dyDescent="0.4">
      <c r="I1455" s="1"/>
    </row>
    <row r="1456" spans="9:9" x14ac:dyDescent="0.4">
      <c r="I1456" s="1"/>
    </row>
    <row r="1458" spans="9:9" x14ac:dyDescent="0.4">
      <c r="I1458" s="1"/>
    </row>
    <row r="1461" spans="9:9" x14ac:dyDescent="0.4">
      <c r="I1461" s="1"/>
    </row>
    <row r="1462" spans="9:9" x14ac:dyDescent="0.4">
      <c r="I1462" s="1"/>
    </row>
    <row r="1464" spans="9:9" x14ac:dyDescent="0.4">
      <c r="I1464" s="1"/>
    </row>
    <row r="1469" spans="9:9" x14ac:dyDescent="0.4">
      <c r="I1469" s="1"/>
    </row>
    <row r="1473" spans="6:9" x14ac:dyDescent="0.4">
      <c r="I1473" s="1"/>
    </row>
    <row r="1474" spans="6:9" x14ac:dyDescent="0.4">
      <c r="I1474" s="1"/>
    </row>
    <row r="1477" spans="6:9" x14ac:dyDescent="0.4">
      <c r="F1477" s="1"/>
    </row>
    <row r="1485" spans="6:9" x14ac:dyDescent="0.4">
      <c r="I1485" s="1"/>
    </row>
    <row r="1487" spans="6:9" x14ac:dyDescent="0.4">
      <c r="I1487" s="1"/>
    </row>
    <row r="1489" spans="6:9" x14ac:dyDescent="0.4">
      <c r="I1489" s="1"/>
    </row>
    <row r="1497" spans="6:9" x14ac:dyDescent="0.4">
      <c r="I1497" s="1"/>
    </row>
    <row r="1499" spans="6:9" x14ac:dyDescent="0.4">
      <c r="F1499" s="1"/>
    </row>
    <row r="1506" spans="9:9" x14ac:dyDescent="0.4">
      <c r="I1506" s="1"/>
    </row>
    <row r="1526" spans="9:9" x14ac:dyDescent="0.4">
      <c r="I1526" s="1"/>
    </row>
    <row r="1539" spans="6:9" x14ac:dyDescent="0.4">
      <c r="I1539" s="1"/>
    </row>
    <row r="1544" spans="6:9" x14ac:dyDescent="0.4">
      <c r="F1544" s="1"/>
    </row>
    <row r="1547" spans="6:9" x14ac:dyDescent="0.4">
      <c r="I1547" s="1"/>
    </row>
    <row r="1554" spans="9:9" x14ac:dyDescent="0.4">
      <c r="I1554" s="1"/>
    </row>
    <row r="1556" spans="9:9" x14ac:dyDescent="0.4">
      <c r="I1556" s="1"/>
    </row>
    <row r="1561" spans="9:9" x14ac:dyDescent="0.4">
      <c r="I1561" s="1"/>
    </row>
    <row r="1565" spans="9:9" x14ac:dyDescent="0.4">
      <c r="I1565" s="1"/>
    </row>
    <row r="1567" spans="9:9" x14ac:dyDescent="0.4">
      <c r="I1567" s="1"/>
    </row>
    <row r="1570" spans="9:9" x14ac:dyDescent="0.4">
      <c r="I1570" s="1"/>
    </row>
    <row r="1572" spans="9:9" x14ac:dyDescent="0.4">
      <c r="I1572" s="1"/>
    </row>
    <row r="1575" spans="9:9" x14ac:dyDescent="0.4">
      <c r="I1575" s="1"/>
    </row>
    <row r="1578" spans="9:9" x14ac:dyDescent="0.4">
      <c r="I1578" s="1"/>
    </row>
    <row r="1579" spans="9:9" x14ac:dyDescent="0.4">
      <c r="I1579" s="1"/>
    </row>
    <row r="1582" spans="9:9" x14ac:dyDescent="0.4">
      <c r="I1582" s="1"/>
    </row>
    <row r="1583" spans="9:9" x14ac:dyDescent="0.4">
      <c r="I1583" s="1"/>
    </row>
    <row r="1586" spans="9:9" x14ac:dyDescent="0.4">
      <c r="I1586" s="1"/>
    </row>
    <row r="1589" spans="9:9" x14ac:dyDescent="0.4">
      <c r="I1589" s="1"/>
    </row>
    <row r="1591" spans="9:9" x14ac:dyDescent="0.4">
      <c r="I1591" s="1"/>
    </row>
    <row r="1596" spans="9:9" x14ac:dyDescent="0.4">
      <c r="I1596" s="1"/>
    </row>
    <row r="1599" spans="9:9" x14ac:dyDescent="0.4">
      <c r="I1599" s="1"/>
    </row>
    <row r="1600" spans="9:9" x14ac:dyDescent="0.4">
      <c r="I1600" s="1"/>
    </row>
    <row r="1602" spans="9:9" x14ac:dyDescent="0.4">
      <c r="I1602" s="1"/>
    </row>
    <row r="1609" spans="9:9" x14ac:dyDescent="0.4">
      <c r="I1609" s="1"/>
    </row>
    <row r="1610" spans="9:9" x14ac:dyDescent="0.4">
      <c r="I1610" s="1"/>
    </row>
    <row r="1615" spans="9:9" x14ac:dyDescent="0.4">
      <c r="I1615" s="1"/>
    </row>
    <row r="1623" spans="9:9" x14ac:dyDescent="0.4">
      <c r="I1623" s="1"/>
    </row>
    <row r="1629" spans="9:9" x14ac:dyDescent="0.4">
      <c r="I1629" s="1"/>
    </row>
    <row r="1635" spans="9:9" x14ac:dyDescent="0.4">
      <c r="I1635" s="1"/>
    </row>
    <row r="1643" spans="9:9" x14ac:dyDescent="0.4">
      <c r="I1643" s="1"/>
    </row>
    <row r="1644" spans="9:9" x14ac:dyDescent="0.4">
      <c r="I1644" s="1"/>
    </row>
    <row r="1647" spans="9:9" x14ac:dyDescent="0.4">
      <c r="I1647" s="1"/>
    </row>
    <row r="1648" spans="9:9" x14ac:dyDescent="0.4">
      <c r="I1648" s="1"/>
    </row>
    <row r="1649" spans="9:9" x14ac:dyDescent="0.4">
      <c r="I1649" s="1"/>
    </row>
    <row r="1654" spans="9:9" x14ac:dyDescent="0.4">
      <c r="I1654" s="1"/>
    </row>
    <row r="1655" spans="9:9" x14ac:dyDescent="0.4">
      <c r="I1655" s="1"/>
    </row>
    <row r="1675" spans="6:9" x14ac:dyDescent="0.4">
      <c r="I1675" s="1"/>
    </row>
    <row r="1676" spans="6:9" x14ac:dyDescent="0.4">
      <c r="I1676" s="1"/>
    </row>
    <row r="1677" spans="6:9" x14ac:dyDescent="0.4">
      <c r="F1677" s="1"/>
      <c r="I1677" s="1"/>
    </row>
    <row r="1680" spans="6:9" x14ac:dyDescent="0.4">
      <c r="I1680" s="1"/>
    </row>
    <row r="1684" spans="9:9" x14ac:dyDescent="0.4">
      <c r="I1684" s="1"/>
    </row>
    <row r="1690" spans="9:9" x14ac:dyDescent="0.4">
      <c r="I1690" s="1"/>
    </row>
    <row r="1692" spans="9:9" x14ac:dyDescent="0.4">
      <c r="I1692" s="1"/>
    </row>
    <row r="1694" spans="9:9" x14ac:dyDescent="0.4">
      <c r="I1694" s="1"/>
    </row>
    <row r="1695" spans="9:9" x14ac:dyDescent="0.4">
      <c r="I1695" s="1"/>
    </row>
    <row r="1696" spans="9:9" x14ac:dyDescent="0.4">
      <c r="I1696" s="1"/>
    </row>
    <row r="1698" spans="9:9" x14ac:dyDescent="0.4">
      <c r="I1698" s="1"/>
    </row>
    <row r="1707" spans="9:9" x14ac:dyDescent="0.4">
      <c r="I1707" s="1"/>
    </row>
    <row r="1710" spans="9:9" x14ac:dyDescent="0.4">
      <c r="I1710" s="1"/>
    </row>
    <row r="1711" spans="9:9" x14ac:dyDescent="0.4">
      <c r="I1711" s="1"/>
    </row>
    <row r="1716" spans="9:9" x14ac:dyDescent="0.4">
      <c r="I1716" s="1"/>
    </row>
    <row r="1719" spans="9:9" x14ac:dyDescent="0.4">
      <c r="I1719" s="1"/>
    </row>
    <row r="1725" spans="9:9" x14ac:dyDescent="0.4">
      <c r="I1725" s="1"/>
    </row>
    <row r="1727" spans="9:9" x14ac:dyDescent="0.4">
      <c r="I1727" s="1"/>
    </row>
    <row r="1728" spans="9:9" x14ac:dyDescent="0.4">
      <c r="I1728" s="1"/>
    </row>
    <row r="1729" spans="9:9" x14ac:dyDescent="0.4">
      <c r="I1729" s="1"/>
    </row>
    <row r="1732" spans="9:9" x14ac:dyDescent="0.4">
      <c r="I1732" s="1"/>
    </row>
    <row r="1734" spans="9:9" x14ac:dyDescent="0.4">
      <c r="I1734" s="1"/>
    </row>
    <row r="1737" spans="9:9" x14ac:dyDescent="0.4">
      <c r="I1737" s="1"/>
    </row>
    <row r="1744" spans="9:9" x14ac:dyDescent="0.4">
      <c r="I1744" s="1"/>
    </row>
    <row r="1749" spans="9:9" x14ac:dyDescent="0.4">
      <c r="I1749" s="1"/>
    </row>
    <row r="1754" spans="9:9" x14ac:dyDescent="0.4">
      <c r="I1754" s="1"/>
    </row>
    <row r="1759" spans="9:9" x14ac:dyDescent="0.4">
      <c r="I1759" s="1"/>
    </row>
    <row r="1775" spans="9:9" x14ac:dyDescent="0.4">
      <c r="I1775" s="1"/>
    </row>
    <row r="1778" spans="9:9" x14ac:dyDescent="0.4">
      <c r="I1778" s="1"/>
    </row>
    <row r="1783" spans="9:9" x14ac:dyDescent="0.4">
      <c r="I1783" s="1"/>
    </row>
    <row r="1784" spans="9:9" x14ac:dyDescent="0.4">
      <c r="I1784" s="1"/>
    </row>
    <row r="1786" spans="9:9" x14ac:dyDescent="0.4">
      <c r="I1786" s="1"/>
    </row>
    <row r="1789" spans="9:9" x14ac:dyDescent="0.4">
      <c r="I1789" s="1"/>
    </row>
    <row r="1791" spans="9:9" x14ac:dyDescent="0.4">
      <c r="I1791" s="1"/>
    </row>
    <row r="1795" spans="9:9" x14ac:dyDescent="0.4">
      <c r="I1795" s="1"/>
    </row>
    <row r="1797" spans="9:9" x14ac:dyDescent="0.4">
      <c r="I1797" s="1"/>
    </row>
    <row r="1807" spans="9:9" x14ac:dyDescent="0.4">
      <c r="I1807" s="1"/>
    </row>
    <row r="1817" spans="9:9" x14ac:dyDescent="0.4">
      <c r="I1817" s="1"/>
    </row>
    <row r="1821" spans="9:9" x14ac:dyDescent="0.4">
      <c r="I1821" s="1"/>
    </row>
    <row r="1823" spans="9:9" x14ac:dyDescent="0.4">
      <c r="I1823" s="1"/>
    </row>
    <row r="1825" spans="9:9" x14ac:dyDescent="0.4">
      <c r="I1825" s="1"/>
    </row>
    <row r="1826" spans="9:9" x14ac:dyDescent="0.4">
      <c r="I1826" s="1"/>
    </row>
    <row r="1829" spans="9:9" x14ac:dyDescent="0.4">
      <c r="I1829" s="1"/>
    </row>
    <row r="1834" spans="9:9" x14ac:dyDescent="0.4">
      <c r="I1834" s="1"/>
    </row>
    <row r="1843" spans="9:9" x14ac:dyDescent="0.4">
      <c r="I1843" s="1"/>
    </row>
    <row r="1844" spans="9:9" x14ac:dyDescent="0.4">
      <c r="I1844" s="1"/>
    </row>
    <row r="1846" spans="9:9" x14ac:dyDescent="0.4">
      <c r="I1846" s="1"/>
    </row>
    <row r="1867" spans="9:9" x14ac:dyDescent="0.4">
      <c r="I1867" s="1"/>
    </row>
    <row r="1868" spans="9:9" x14ac:dyDescent="0.4">
      <c r="I1868" s="1"/>
    </row>
    <row r="1876" spans="9:9" x14ac:dyDescent="0.4">
      <c r="I1876" s="1"/>
    </row>
    <row r="1881" spans="9:9" x14ac:dyDescent="0.4">
      <c r="I1881" s="1"/>
    </row>
    <row r="1882" spans="9:9" x14ac:dyDescent="0.4">
      <c r="I1882" s="1"/>
    </row>
    <row r="1887" spans="9:9" x14ac:dyDescent="0.4">
      <c r="I1887" s="1"/>
    </row>
    <row r="1892" spans="9:9" x14ac:dyDescent="0.4">
      <c r="I1892" s="1"/>
    </row>
    <row r="1903" spans="9:9" x14ac:dyDescent="0.4">
      <c r="I1903" s="1"/>
    </row>
    <row r="1908" spans="9:9" x14ac:dyDescent="0.4">
      <c r="I1908" s="1"/>
    </row>
    <row r="1909" spans="9:9" x14ac:dyDescent="0.4">
      <c r="I1909" s="1"/>
    </row>
    <row r="1912" spans="9:9" x14ac:dyDescent="0.4">
      <c r="I1912" s="1"/>
    </row>
    <row r="1927" spans="9:9" x14ac:dyDescent="0.4">
      <c r="I1927" s="1"/>
    </row>
    <row r="1931" spans="9:9" x14ac:dyDescent="0.4">
      <c r="I1931" s="1"/>
    </row>
    <row r="1932" spans="9:9" x14ac:dyDescent="0.4">
      <c r="I1932" s="1"/>
    </row>
    <row r="1933" spans="9:9" x14ac:dyDescent="0.4">
      <c r="I1933" s="1"/>
    </row>
    <row r="1934" spans="9:9" x14ac:dyDescent="0.4">
      <c r="I1934" s="1"/>
    </row>
    <row r="1942" spans="9:9" x14ac:dyDescent="0.4">
      <c r="I1942" s="1"/>
    </row>
    <row r="1949" spans="9:9" x14ac:dyDescent="0.4">
      <c r="I1949" s="1"/>
    </row>
    <row r="1953" spans="9:9" x14ac:dyDescent="0.4">
      <c r="I1953" s="1"/>
    </row>
    <row r="1965" spans="9:9" x14ac:dyDescent="0.4">
      <c r="I1965" s="1"/>
    </row>
    <row r="1966" spans="9:9" x14ac:dyDescent="0.4">
      <c r="I1966" s="1"/>
    </row>
    <row r="1979" spans="9:9" x14ac:dyDescent="0.4">
      <c r="I1979" s="1"/>
    </row>
    <row r="1988" spans="9:9" x14ac:dyDescent="0.4">
      <c r="I1988" s="1"/>
    </row>
    <row r="1989" spans="9:9" x14ac:dyDescent="0.4">
      <c r="I1989" s="1"/>
    </row>
    <row r="1996" spans="9:9" x14ac:dyDescent="0.4">
      <c r="I1996" s="1"/>
    </row>
    <row r="2001" spans="9:9" x14ac:dyDescent="0.4">
      <c r="I2001" s="1"/>
    </row>
    <row r="2008" spans="9:9" x14ac:dyDescent="0.4">
      <c r="I2008" s="1"/>
    </row>
    <row r="2009" spans="9:9" x14ac:dyDescent="0.4">
      <c r="I2009" s="1"/>
    </row>
    <row r="2011" spans="9:9" x14ac:dyDescent="0.4">
      <c r="I2011" s="1"/>
    </row>
    <row r="2013" spans="9:9" x14ac:dyDescent="0.4">
      <c r="I2013" s="1"/>
    </row>
    <row r="2015" spans="9:9" x14ac:dyDescent="0.4">
      <c r="I2015" s="1"/>
    </row>
    <row r="2016" spans="9:9" x14ac:dyDescent="0.4">
      <c r="I2016" s="1"/>
    </row>
    <row r="2018" spans="9:9" x14ac:dyDescent="0.4">
      <c r="I2018" s="1"/>
    </row>
    <row r="2020" spans="9:9" x14ac:dyDescent="0.4">
      <c r="I2020" s="1"/>
    </row>
    <row r="2023" spans="9:9" x14ac:dyDescent="0.4">
      <c r="I2023" s="1"/>
    </row>
    <row r="2024" spans="9:9" x14ac:dyDescent="0.4">
      <c r="I2024" s="1"/>
    </row>
    <row r="2031" spans="9:9" x14ac:dyDescent="0.4">
      <c r="I2031" s="1"/>
    </row>
    <row r="2033" spans="9:9" x14ac:dyDescent="0.4">
      <c r="I2033" s="1"/>
    </row>
    <row r="2037" spans="9:9" x14ac:dyDescent="0.4">
      <c r="I2037" s="1"/>
    </row>
    <row r="2042" spans="9:9" x14ac:dyDescent="0.4">
      <c r="I2042" s="1"/>
    </row>
    <row r="2052" spans="9:9" x14ac:dyDescent="0.4">
      <c r="I2052" s="1"/>
    </row>
    <row r="2054" spans="9:9" x14ac:dyDescent="0.4">
      <c r="I2054" s="1"/>
    </row>
    <row r="2059" spans="9:9" x14ac:dyDescent="0.4">
      <c r="I2059" s="1"/>
    </row>
    <row r="2060" spans="9:9" x14ac:dyDescent="0.4">
      <c r="I2060" s="1"/>
    </row>
    <row r="2061" spans="9:9" x14ac:dyDescent="0.4">
      <c r="I2061" s="1"/>
    </row>
    <row r="2063" spans="9:9" x14ac:dyDescent="0.4">
      <c r="I2063" s="1"/>
    </row>
    <row r="2068" spans="9:9" x14ac:dyDescent="0.4">
      <c r="I2068" s="1"/>
    </row>
    <row r="2072" spans="9:9" x14ac:dyDescent="0.4">
      <c r="I2072" s="1"/>
    </row>
    <row r="2082" spans="9:9" x14ac:dyDescent="0.4">
      <c r="I2082" s="1"/>
    </row>
    <row r="2086" spans="9:9" x14ac:dyDescent="0.4">
      <c r="I2086" s="1"/>
    </row>
    <row r="2087" spans="9:9" x14ac:dyDescent="0.4">
      <c r="I2087" s="1"/>
    </row>
    <row r="2098" spans="9:9" x14ac:dyDescent="0.4">
      <c r="I2098" s="1"/>
    </row>
    <row r="2099" spans="9:9" x14ac:dyDescent="0.4">
      <c r="I2099" s="1"/>
    </row>
    <row r="2102" spans="9:9" x14ac:dyDescent="0.4">
      <c r="I2102" s="1"/>
    </row>
    <row r="2109" spans="9:9" x14ac:dyDescent="0.4">
      <c r="I2109" s="1"/>
    </row>
    <row r="2116" spans="9:9" x14ac:dyDescent="0.4">
      <c r="I2116" s="1"/>
    </row>
    <row r="2117" spans="9:9" x14ac:dyDescent="0.4">
      <c r="I2117" s="1"/>
    </row>
    <row r="2118" spans="9:9" x14ac:dyDescent="0.4">
      <c r="I2118" s="1"/>
    </row>
    <row r="2119" spans="9:9" x14ac:dyDescent="0.4">
      <c r="I2119" s="1"/>
    </row>
    <row r="2127" spans="9:9" x14ac:dyDescent="0.4">
      <c r="I2127" s="1"/>
    </row>
    <row r="2132" spans="9:9" x14ac:dyDescent="0.4">
      <c r="I2132" s="1"/>
    </row>
    <row r="2133" spans="9:9" x14ac:dyDescent="0.4">
      <c r="I2133" s="1"/>
    </row>
    <row r="2136" spans="9:9" x14ac:dyDescent="0.4">
      <c r="I2136" s="1"/>
    </row>
    <row r="2141" spans="9:9" x14ac:dyDescent="0.4">
      <c r="I2141" s="1"/>
    </row>
    <row r="2142" spans="9:9" x14ac:dyDescent="0.4">
      <c r="I2142" s="1"/>
    </row>
    <row r="2154" spans="9:9" x14ac:dyDescent="0.4">
      <c r="I2154" s="1"/>
    </row>
    <row r="2155" spans="9:9" x14ac:dyDescent="0.4">
      <c r="I2155" s="1"/>
    </row>
    <row r="2163" spans="9:9" x14ac:dyDescent="0.4">
      <c r="I2163" s="1"/>
    </row>
    <row r="2164" spans="9:9" x14ac:dyDescent="0.4">
      <c r="I2164" s="1"/>
    </row>
    <row r="2167" spans="9:9" x14ac:dyDescent="0.4">
      <c r="I2167" s="1"/>
    </row>
    <row r="2184" spans="9:9" x14ac:dyDescent="0.4">
      <c r="I2184" s="1"/>
    </row>
    <row r="2188" spans="9:9" x14ac:dyDescent="0.4">
      <c r="I2188" s="1"/>
    </row>
    <row r="2189" spans="9:9" x14ac:dyDescent="0.4">
      <c r="I2189" s="1"/>
    </row>
    <row r="2190" spans="9:9" x14ac:dyDescent="0.4">
      <c r="I2190" s="1"/>
    </row>
    <row r="2199" spans="9:9" x14ac:dyDescent="0.4">
      <c r="I2199" s="1"/>
    </row>
    <row r="2200" spans="9:9" x14ac:dyDescent="0.4">
      <c r="I2200" s="1"/>
    </row>
    <row r="2204" spans="9:9" x14ac:dyDescent="0.4">
      <c r="I2204" s="1"/>
    </row>
    <row r="2206" spans="9:9" x14ac:dyDescent="0.4">
      <c r="I2206" s="1"/>
    </row>
    <row r="2207" spans="9:9" x14ac:dyDescent="0.4">
      <c r="I2207" s="1"/>
    </row>
    <row r="2209" spans="9:9" x14ac:dyDescent="0.4">
      <c r="I2209" s="1"/>
    </row>
    <row r="2211" spans="9:9" x14ac:dyDescent="0.4">
      <c r="I2211" s="1"/>
    </row>
    <row r="2214" spans="9:9" x14ac:dyDescent="0.4">
      <c r="I2214" s="1"/>
    </row>
    <row r="2217" spans="9:9" x14ac:dyDescent="0.4">
      <c r="I2217" s="1"/>
    </row>
    <row r="2223" spans="9:9" x14ac:dyDescent="0.4">
      <c r="I2223" s="1"/>
    </row>
    <row r="2228" spans="9:9" x14ac:dyDescent="0.4">
      <c r="I2228" s="1"/>
    </row>
    <row r="2231" spans="9:9" x14ac:dyDescent="0.4">
      <c r="I2231" s="1"/>
    </row>
    <row r="2238" spans="9:9" x14ac:dyDescent="0.4">
      <c r="I2238" s="1"/>
    </row>
    <row r="2247" spans="9:9" x14ac:dyDescent="0.4">
      <c r="I2247" s="1"/>
    </row>
    <row r="2249" spans="9:9" x14ac:dyDescent="0.4">
      <c r="I2249" s="1"/>
    </row>
    <row r="2251" spans="9:9" x14ac:dyDescent="0.4">
      <c r="I2251" s="1"/>
    </row>
    <row r="2254" spans="9:9" x14ac:dyDescent="0.4">
      <c r="I2254" s="1"/>
    </row>
    <row r="2258" spans="9:9" x14ac:dyDescent="0.4">
      <c r="I2258" s="1"/>
    </row>
    <row r="2259" spans="9:9" x14ac:dyDescent="0.4">
      <c r="I2259" s="1"/>
    </row>
    <row r="2260" spans="9:9" x14ac:dyDescent="0.4">
      <c r="I2260" s="1"/>
    </row>
    <row r="2261" spans="9:9" x14ac:dyDescent="0.4">
      <c r="I2261" s="1"/>
    </row>
    <row r="2265" spans="9:9" x14ac:dyDescent="0.4">
      <c r="I2265" s="1"/>
    </row>
    <row r="2269" spans="9:9" x14ac:dyDescent="0.4">
      <c r="I2269" s="1"/>
    </row>
    <row r="2275" spans="9:9" x14ac:dyDescent="0.4">
      <c r="I2275" s="1"/>
    </row>
    <row r="2277" spans="9:9" x14ac:dyDescent="0.4">
      <c r="I2277" s="1"/>
    </row>
    <row r="2281" spans="9:9" x14ac:dyDescent="0.4">
      <c r="I2281" s="1"/>
    </row>
    <row r="2290" spans="9:9" x14ac:dyDescent="0.4">
      <c r="I2290" s="1"/>
    </row>
    <row r="2292" spans="9:9" x14ac:dyDescent="0.4">
      <c r="I2292" s="1"/>
    </row>
    <row r="2293" spans="9:9" x14ac:dyDescent="0.4">
      <c r="I2293" s="1"/>
    </row>
    <row r="2296" spans="9:9" x14ac:dyDescent="0.4">
      <c r="I2296" s="1"/>
    </row>
    <row r="2297" spans="9:9" x14ac:dyDescent="0.4">
      <c r="I2297" s="1"/>
    </row>
    <row r="2301" spans="9:9" x14ac:dyDescent="0.4">
      <c r="I2301" s="1"/>
    </row>
    <row r="2304" spans="9:9" x14ac:dyDescent="0.4">
      <c r="I2304" s="1"/>
    </row>
    <row r="2310" spans="9:9" x14ac:dyDescent="0.4">
      <c r="I2310" s="1"/>
    </row>
    <row r="2321" spans="9:9" x14ac:dyDescent="0.4">
      <c r="I2321" s="1"/>
    </row>
    <row r="2323" spans="9:9" x14ac:dyDescent="0.4">
      <c r="I2323" s="1"/>
    </row>
    <row r="2329" spans="9:9" x14ac:dyDescent="0.4">
      <c r="I2329" s="1"/>
    </row>
    <row r="2331" spans="9:9" x14ac:dyDescent="0.4">
      <c r="I2331" s="1"/>
    </row>
    <row r="2332" spans="9:9" x14ac:dyDescent="0.4">
      <c r="I2332" s="1"/>
    </row>
    <row r="2333" spans="9:9" x14ac:dyDescent="0.4">
      <c r="I2333" s="1"/>
    </row>
    <row r="2335" spans="9:9" x14ac:dyDescent="0.4">
      <c r="I2335" s="1"/>
    </row>
    <row r="2340" spans="9:9" x14ac:dyDescent="0.4">
      <c r="I2340" s="1"/>
    </row>
    <row r="2342" spans="9:9" x14ac:dyDescent="0.4">
      <c r="I2342" s="1"/>
    </row>
    <row r="2343" spans="9:9" x14ac:dyDescent="0.4">
      <c r="I2343" s="1"/>
    </row>
    <row r="2354" spans="9:9" x14ac:dyDescent="0.4">
      <c r="I2354" s="1"/>
    </row>
    <row r="2359" spans="9:9" x14ac:dyDescent="0.4">
      <c r="I2359" s="1"/>
    </row>
    <row r="2361" spans="9:9" x14ac:dyDescent="0.4">
      <c r="I2361" s="1"/>
    </row>
    <row r="2369" spans="9:9" x14ac:dyDescent="0.4">
      <c r="I2369" s="1"/>
    </row>
    <row r="2372" spans="9:9" x14ac:dyDescent="0.4">
      <c r="I2372" s="1"/>
    </row>
    <row r="2378" spans="9:9" x14ac:dyDescent="0.4">
      <c r="I2378" s="1"/>
    </row>
    <row r="2379" spans="9:9" x14ac:dyDescent="0.4">
      <c r="I2379" s="1"/>
    </row>
    <row r="2382" spans="9:9" x14ac:dyDescent="0.4">
      <c r="I2382" s="1"/>
    </row>
    <row r="2383" spans="9:9" x14ac:dyDescent="0.4">
      <c r="I2383" s="1"/>
    </row>
    <row r="2386" spans="9:9" x14ac:dyDescent="0.4">
      <c r="I2386" s="1"/>
    </row>
    <row r="2396" spans="9:9" x14ac:dyDescent="0.4">
      <c r="I2396" s="1"/>
    </row>
    <row r="2400" spans="9:9" x14ac:dyDescent="0.4">
      <c r="I2400" s="1"/>
    </row>
    <row r="2407" spans="9:9" x14ac:dyDescent="0.4">
      <c r="I2407" s="1"/>
    </row>
    <row r="2414" spans="9:9" x14ac:dyDescent="0.4">
      <c r="I2414" s="1"/>
    </row>
    <row r="2415" spans="9:9" x14ac:dyDescent="0.4">
      <c r="I2415" s="1"/>
    </row>
    <row r="2416" spans="9:9" x14ac:dyDescent="0.4">
      <c r="I2416" s="1"/>
    </row>
    <row r="2417" spans="6:6" x14ac:dyDescent="0.4">
      <c r="F2417" s="1"/>
    </row>
    <row r="2424" spans="6:6" x14ac:dyDescent="0.4">
      <c r="F2424" s="1"/>
    </row>
    <row r="2437" spans="9:9" x14ac:dyDescent="0.4">
      <c r="I2437" s="1"/>
    </row>
    <row r="2438" spans="9:9" x14ac:dyDescent="0.4">
      <c r="I2438" s="1"/>
    </row>
    <row r="2443" spans="9:9" x14ac:dyDescent="0.4">
      <c r="I2443" s="1"/>
    </row>
    <row r="2444" spans="9:9" x14ac:dyDescent="0.4">
      <c r="I2444" s="1"/>
    </row>
    <row r="2445" spans="9:9" x14ac:dyDescent="0.4">
      <c r="I2445" s="1"/>
    </row>
    <row r="2453" spans="9:9" x14ac:dyDescent="0.4">
      <c r="I2453" s="1"/>
    </row>
    <row r="2454" spans="9:9" x14ac:dyDescent="0.4">
      <c r="I2454" s="1"/>
    </row>
    <row r="2460" spans="9:9" x14ac:dyDescent="0.4">
      <c r="I2460" s="1"/>
    </row>
    <row r="2463" spans="9:9" x14ac:dyDescent="0.4">
      <c r="I2463" s="1"/>
    </row>
    <row r="2464" spans="9:9" x14ac:dyDescent="0.4">
      <c r="I2464" s="1"/>
    </row>
    <row r="2467" spans="9:9" x14ac:dyDescent="0.4">
      <c r="I2467" s="1"/>
    </row>
    <row r="2468" spans="9:9" x14ac:dyDescent="0.4">
      <c r="I2468" s="1"/>
    </row>
    <row r="2469" spans="9:9" x14ac:dyDescent="0.4">
      <c r="I2469" s="1"/>
    </row>
    <row r="2470" spans="9:9" x14ac:dyDescent="0.4">
      <c r="I2470" s="1"/>
    </row>
    <row r="2472" spans="9:9" x14ac:dyDescent="0.4">
      <c r="I2472" s="1"/>
    </row>
    <row r="2473" spans="9:9" x14ac:dyDescent="0.4">
      <c r="I2473" s="1"/>
    </row>
    <row r="2474" spans="9:9" x14ac:dyDescent="0.4">
      <c r="I2474" s="1"/>
    </row>
    <row r="2477" spans="9:9" x14ac:dyDescent="0.4">
      <c r="I2477" s="1"/>
    </row>
    <row r="2480" spans="9:9" x14ac:dyDescent="0.4">
      <c r="I2480" s="1"/>
    </row>
    <row r="2483" spans="9:9" x14ac:dyDescent="0.4">
      <c r="I2483" s="1"/>
    </row>
    <row r="2484" spans="9:9" x14ac:dyDescent="0.4">
      <c r="I2484" s="1"/>
    </row>
    <row r="2486" spans="9:9" x14ac:dyDescent="0.4">
      <c r="I2486" s="1"/>
    </row>
    <row r="2492" spans="9:9" x14ac:dyDescent="0.4">
      <c r="I2492" s="1"/>
    </row>
    <row r="2504" spans="9:9" x14ac:dyDescent="0.4">
      <c r="I2504" s="1"/>
    </row>
    <row r="2507" spans="9:9" x14ac:dyDescent="0.4">
      <c r="I2507" s="1"/>
    </row>
    <row r="2518" spans="9:9" x14ac:dyDescent="0.4">
      <c r="I2518" s="1"/>
    </row>
    <row r="2520" spans="9:9" x14ac:dyDescent="0.4">
      <c r="I2520" s="1"/>
    </row>
    <row r="2536" spans="9:9" x14ac:dyDescent="0.4">
      <c r="I2536" s="1"/>
    </row>
    <row r="2539" spans="9:9" x14ac:dyDescent="0.4">
      <c r="I2539" s="1"/>
    </row>
    <row r="2541" spans="9:9" x14ac:dyDescent="0.4">
      <c r="I2541" s="1"/>
    </row>
    <row r="2544" spans="9:9" x14ac:dyDescent="0.4">
      <c r="I2544" s="1"/>
    </row>
    <row r="2546" spans="9:9" x14ac:dyDescent="0.4">
      <c r="I2546" s="1"/>
    </row>
    <row r="2549" spans="9:9" x14ac:dyDescent="0.4">
      <c r="I2549" s="1"/>
    </row>
    <row r="2552" spans="9:9" x14ac:dyDescent="0.4">
      <c r="I2552" s="1"/>
    </row>
    <row r="2555" spans="9:9" x14ac:dyDescent="0.4">
      <c r="I2555" s="1"/>
    </row>
    <row r="2567" spans="9:9" x14ac:dyDescent="0.4">
      <c r="I2567" s="1"/>
    </row>
    <row r="2570" spans="9:9" x14ac:dyDescent="0.4">
      <c r="I2570" s="1"/>
    </row>
    <row r="2577" spans="9:9" x14ac:dyDescent="0.4">
      <c r="I2577" s="1"/>
    </row>
    <row r="2580" spans="9:9" x14ac:dyDescent="0.4">
      <c r="I2580" s="1"/>
    </row>
    <row r="2581" spans="9:9" x14ac:dyDescent="0.4">
      <c r="I2581" s="1"/>
    </row>
    <row r="2584" spans="9:9" x14ac:dyDescent="0.4">
      <c r="I2584" s="1"/>
    </row>
    <row r="2586" spans="9:9" x14ac:dyDescent="0.4">
      <c r="I2586" s="1"/>
    </row>
    <row r="2588" spans="9:9" x14ac:dyDescent="0.4">
      <c r="I2588" s="1"/>
    </row>
    <row r="2592" spans="9:9" x14ac:dyDescent="0.4">
      <c r="I2592" s="1"/>
    </row>
    <row r="2593" spans="6:9" x14ac:dyDescent="0.4">
      <c r="I2593" s="1"/>
    </row>
    <row r="2595" spans="6:9" x14ac:dyDescent="0.4">
      <c r="I2595" s="1"/>
    </row>
    <row r="2600" spans="6:9" x14ac:dyDescent="0.4">
      <c r="F2600" s="1"/>
    </row>
    <row r="2618" spans="9:9" x14ac:dyDescent="0.4">
      <c r="I2618" s="1"/>
    </row>
    <row r="2621" spans="9:9" x14ac:dyDescent="0.4">
      <c r="I2621" s="1"/>
    </row>
    <row r="2631" spans="9:9" x14ac:dyDescent="0.4">
      <c r="I2631" s="1"/>
    </row>
    <row r="2647" spans="9:9" x14ac:dyDescent="0.4">
      <c r="I2647" s="1"/>
    </row>
    <row r="2648" spans="9:9" x14ac:dyDescent="0.4">
      <c r="I2648" s="1"/>
    </row>
    <row r="2651" spans="9:9" x14ac:dyDescent="0.4">
      <c r="I2651" s="1"/>
    </row>
    <row r="2655" spans="9:9" x14ac:dyDescent="0.4">
      <c r="I2655" s="1"/>
    </row>
    <row r="2658" spans="6:9" x14ac:dyDescent="0.4">
      <c r="I2658" s="1"/>
    </row>
    <row r="2662" spans="6:9" x14ac:dyDescent="0.4">
      <c r="I2662" s="1"/>
    </row>
    <row r="2663" spans="6:9" x14ac:dyDescent="0.4">
      <c r="I2663" s="1"/>
    </row>
    <row r="2664" spans="6:9" x14ac:dyDescent="0.4">
      <c r="I2664" s="1"/>
    </row>
    <row r="2669" spans="6:9" x14ac:dyDescent="0.4">
      <c r="F2669" s="1"/>
      <c r="I2669" s="1"/>
    </row>
    <row r="2675" spans="9:9" x14ac:dyDescent="0.4">
      <c r="I2675" s="1"/>
    </row>
    <row r="2683" spans="9:9" x14ac:dyDescent="0.4">
      <c r="I2683" s="1"/>
    </row>
    <row r="2690" spans="9:9" x14ac:dyDescent="0.4">
      <c r="I2690" s="1"/>
    </row>
    <row r="2692" spans="9:9" x14ac:dyDescent="0.4">
      <c r="I2692" s="1"/>
    </row>
    <row r="2694" spans="9:9" x14ac:dyDescent="0.4">
      <c r="I2694" s="1"/>
    </row>
    <row r="2698" spans="9:9" x14ac:dyDescent="0.4">
      <c r="I2698" s="1"/>
    </row>
    <row r="2714" spans="9:9" x14ac:dyDescent="0.4">
      <c r="I2714" s="1"/>
    </row>
    <row r="2721" spans="9:9" x14ac:dyDescent="0.4">
      <c r="I2721" s="1"/>
    </row>
    <row r="2722" spans="9:9" x14ac:dyDescent="0.4">
      <c r="I2722" s="1"/>
    </row>
    <row r="2726" spans="9:9" x14ac:dyDescent="0.4">
      <c r="I2726" s="1"/>
    </row>
    <row r="2727" spans="9:9" x14ac:dyDescent="0.4">
      <c r="I2727" s="1"/>
    </row>
    <row r="2729" spans="9:9" x14ac:dyDescent="0.4">
      <c r="I2729" s="1"/>
    </row>
    <row r="2731" spans="9:9" x14ac:dyDescent="0.4">
      <c r="I2731" s="1"/>
    </row>
    <row r="2733" spans="9:9" x14ac:dyDescent="0.4">
      <c r="I2733" s="1"/>
    </row>
    <row r="2734" spans="9:9" x14ac:dyDescent="0.4">
      <c r="I2734" s="1"/>
    </row>
    <row r="2735" spans="9:9" x14ac:dyDescent="0.4">
      <c r="I2735" s="1"/>
    </row>
    <row r="2736" spans="9:9" x14ac:dyDescent="0.4">
      <c r="I2736" s="1"/>
    </row>
    <row r="2739" spans="9:9" x14ac:dyDescent="0.4">
      <c r="I2739" s="1"/>
    </row>
    <row r="2742" spans="9:9" x14ac:dyDescent="0.4">
      <c r="I2742" s="1"/>
    </row>
    <row r="2743" spans="9:9" x14ac:dyDescent="0.4">
      <c r="I2743" s="1"/>
    </row>
    <row r="2746" spans="9:9" x14ac:dyDescent="0.4">
      <c r="I2746" s="1"/>
    </row>
    <row r="2748" spans="9:9" x14ac:dyDescent="0.4">
      <c r="I2748" s="1"/>
    </row>
    <row r="2749" spans="9:9" x14ac:dyDescent="0.4">
      <c r="I2749" s="1"/>
    </row>
    <row r="2750" spans="9:9" x14ac:dyDescent="0.4">
      <c r="I2750" s="1"/>
    </row>
    <row r="2753" spans="9:9" x14ac:dyDescent="0.4">
      <c r="I2753" s="1"/>
    </row>
    <row r="2755" spans="9:9" x14ac:dyDescent="0.4">
      <c r="I2755" s="1"/>
    </row>
    <row r="2760" spans="9:9" x14ac:dyDescent="0.4">
      <c r="I2760" s="1"/>
    </row>
    <row r="2762" spans="9:9" x14ac:dyDescent="0.4">
      <c r="I2762" s="1"/>
    </row>
    <row r="2767" spans="9:9" x14ac:dyDescent="0.4">
      <c r="I2767" s="1"/>
    </row>
    <row r="2769" spans="9:9" x14ac:dyDescent="0.4">
      <c r="I2769" s="1"/>
    </row>
    <row r="2777" spans="9:9" x14ac:dyDescent="0.4">
      <c r="I2777" s="1"/>
    </row>
    <row r="2778" spans="9:9" x14ac:dyDescent="0.4">
      <c r="I2778" s="1"/>
    </row>
    <row r="2779" spans="9:9" x14ac:dyDescent="0.4">
      <c r="I2779" s="1"/>
    </row>
    <row r="2781" spans="9:9" x14ac:dyDescent="0.4">
      <c r="I2781" s="1"/>
    </row>
    <row r="2802" spans="6:9" x14ac:dyDescent="0.4">
      <c r="I2802" s="1"/>
    </row>
    <row r="2803" spans="6:9" x14ac:dyDescent="0.4">
      <c r="I2803" s="1"/>
    </row>
    <row r="2810" spans="6:9" x14ac:dyDescent="0.4">
      <c r="I2810" s="1"/>
    </row>
    <row r="2812" spans="6:9" x14ac:dyDescent="0.4">
      <c r="I2812" s="1"/>
    </row>
    <row r="2814" spans="6:9" x14ac:dyDescent="0.4">
      <c r="F2814" s="1"/>
    </row>
    <row r="2817" spans="9:9" x14ac:dyDescent="0.4">
      <c r="I2817" s="1"/>
    </row>
    <row r="2823" spans="9:9" x14ac:dyDescent="0.4">
      <c r="I2823" s="1"/>
    </row>
    <row r="2824" spans="9:9" x14ac:dyDescent="0.4">
      <c r="I2824" s="1"/>
    </row>
    <row r="2825" spans="9:9" x14ac:dyDescent="0.4">
      <c r="I2825" s="1"/>
    </row>
    <row r="2828" spans="9:9" x14ac:dyDescent="0.4">
      <c r="I2828" s="1"/>
    </row>
    <row r="2830" spans="9:9" x14ac:dyDescent="0.4">
      <c r="I2830" s="1"/>
    </row>
    <row r="2834" spans="9:9" x14ac:dyDescent="0.4">
      <c r="I2834" s="1"/>
    </row>
    <row r="2835" spans="9:9" x14ac:dyDescent="0.4">
      <c r="I2835" s="1"/>
    </row>
    <row r="2841" spans="9:9" x14ac:dyDescent="0.4">
      <c r="I2841" s="1"/>
    </row>
    <row r="2844" spans="9:9" x14ac:dyDescent="0.4">
      <c r="I2844" s="1"/>
    </row>
    <row r="2845" spans="9:9" x14ac:dyDescent="0.4">
      <c r="I2845" s="1"/>
    </row>
    <row r="2850" spans="9:9" x14ac:dyDescent="0.4">
      <c r="I2850" s="1"/>
    </row>
    <row r="2855" spans="9:9" x14ac:dyDescent="0.4">
      <c r="I2855" s="1"/>
    </row>
    <row r="2856" spans="9:9" x14ac:dyDescent="0.4">
      <c r="I2856" s="1"/>
    </row>
    <row r="2858" spans="9:9" x14ac:dyDescent="0.4">
      <c r="I2858" s="1"/>
    </row>
    <row r="2860" spans="9:9" x14ac:dyDescent="0.4">
      <c r="I2860" s="1"/>
    </row>
    <row r="2861" spans="9:9" x14ac:dyDescent="0.4">
      <c r="I2861" s="1"/>
    </row>
    <row r="2862" spans="9:9" x14ac:dyDescent="0.4">
      <c r="I2862" s="1"/>
    </row>
    <row r="2865" spans="9:9" x14ac:dyDescent="0.4">
      <c r="I2865" s="1"/>
    </row>
    <row r="2868" spans="9:9" x14ac:dyDescent="0.4">
      <c r="I2868" s="1"/>
    </row>
    <row r="2870" spans="9:9" x14ac:dyDescent="0.4">
      <c r="I2870" s="1"/>
    </row>
    <row r="2874" spans="9:9" x14ac:dyDescent="0.4">
      <c r="I2874" s="1"/>
    </row>
    <row r="2876" spans="9:9" x14ac:dyDescent="0.4">
      <c r="I2876" s="1"/>
    </row>
    <row r="2880" spans="9:9" x14ac:dyDescent="0.4">
      <c r="I2880" s="1"/>
    </row>
    <row r="2882" spans="9:9" x14ac:dyDescent="0.4">
      <c r="I2882" s="1"/>
    </row>
    <row r="2885" spans="9:9" x14ac:dyDescent="0.4">
      <c r="I2885" s="1"/>
    </row>
    <row r="2893" spans="9:9" x14ac:dyDescent="0.4">
      <c r="I2893" s="1"/>
    </row>
    <row r="2894" spans="9:9" x14ac:dyDescent="0.4">
      <c r="I2894" s="1"/>
    </row>
    <row r="2902" spans="9:9" x14ac:dyDescent="0.4">
      <c r="I2902" s="1"/>
    </row>
    <row r="2904" spans="9:9" x14ac:dyDescent="0.4">
      <c r="I2904" s="1"/>
    </row>
    <row r="2913" spans="9:9" x14ac:dyDescent="0.4">
      <c r="I2913" s="1"/>
    </row>
    <row r="2914" spans="9:9" x14ac:dyDescent="0.4">
      <c r="I2914" s="1"/>
    </row>
    <row r="2925" spans="9:9" x14ac:dyDescent="0.4">
      <c r="I2925" s="1"/>
    </row>
    <row r="2934" spans="9:9" x14ac:dyDescent="0.4">
      <c r="I2934" s="1"/>
    </row>
    <row r="2935" spans="9:9" x14ac:dyDescent="0.4">
      <c r="I2935" s="1"/>
    </row>
    <row r="2947" spans="9:9" x14ac:dyDescent="0.4">
      <c r="I2947" s="1"/>
    </row>
    <row r="2950" spans="9:9" x14ac:dyDescent="0.4">
      <c r="I2950" s="1"/>
    </row>
    <row r="2952" spans="9:9" x14ac:dyDescent="0.4">
      <c r="I2952" s="1"/>
    </row>
    <row r="2956" spans="9:9" x14ac:dyDescent="0.4">
      <c r="I2956" s="1"/>
    </row>
    <row r="2959" spans="9:9" x14ac:dyDescent="0.4">
      <c r="I2959" s="1"/>
    </row>
    <row r="2965" spans="6:9" x14ac:dyDescent="0.4">
      <c r="I2965" s="1"/>
    </row>
    <row r="2966" spans="6:9" x14ac:dyDescent="0.4">
      <c r="F2966" s="1"/>
    </row>
    <row r="2976" spans="6:9" x14ac:dyDescent="0.4">
      <c r="I2976" s="1"/>
    </row>
    <row r="2980" spans="9:9" x14ac:dyDescent="0.4">
      <c r="I2980" s="1"/>
    </row>
    <row r="2989" spans="9:9" x14ac:dyDescent="0.4">
      <c r="I2989" s="1"/>
    </row>
    <row r="2994" spans="9:9" x14ac:dyDescent="0.4">
      <c r="I2994" s="1"/>
    </row>
    <row r="3006" spans="9:9" x14ac:dyDescent="0.4">
      <c r="I3006" s="1"/>
    </row>
    <row r="3008" spans="9:9" x14ac:dyDescent="0.4">
      <c r="I3008" s="1"/>
    </row>
    <row r="3010" spans="9:9" x14ac:dyDescent="0.4">
      <c r="I3010" s="1"/>
    </row>
    <row r="3013" spans="9:9" x14ac:dyDescent="0.4">
      <c r="I3013" s="1"/>
    </row>
    <row r="3025" spans="9:9" x14ac:dyDescent="0.4">
      <c r="I3025" s="1"/>
    </row>
    <row r="3027" spans="9:9" x14ac:dyDescent="0.4">
      <c r="I3027" s="1"/>
    </row>
    <row r="3036" spans="9:9" x14ac:dyDescent="0.4">
      <c r="I3036" s="1"/>
    </row>
    <row r="3038" spans="9:9" x14ac:dyDescent="0.4">
      <c r="I3038" s="1"/>
    </row>
    <row r="3044" spans="9:9" x14ac:dyDescent="0.4">
      <c r="I3044" s="1"/>
    </row>
    <row r="3050" spans="9:9" x14ac:dyDescent="0.4">
      <c r="I3050" s="1"/>
    </row>
    <row r="3053" spans="9:9" x14ac:dyDescent="0.4">
      <c r="I3053" s="1"/>
    </row>
    <row r="3061" spans="9:9" x14ac:dyDescent="0.4">
      <c r="I3061" s="1"/>
    </row>
    <row r="3065" spans="9:9" x14ac:dyDescent="0.4">
      <c r="I3065" s="1"/>
    </row>
    <row r="3066" spans="9:9" x14ac:dyDescent="0.4">
      <c r="I3066" s="1"/>
    </row>
    <row r="3078" spans="9:9" x14ac:dyDescent="0.4">
      <c r="I3078" s="1"/>
    </row>
    <row r="3085" spans="9:9" x14ac:dyDescent="0.4">
      <c r="I3085" s="1"/>
    </row>
    <row r="3087" spans="9:9" x14ac:dyDescent="0.4">
      <c r="I3087" s="1"/>
    </row>
    <row r="3090" spans="9:9" x14ac:dyDescent="0.4">
      <c r="I3090" s="1"/>
    </row>
    <row r="3112" spans="9:9" x14ac:dyDescent="0.4">
      <c r="I3112" s="1"/>
    </row>
    <row r="3115" spans="9:9" x14ac:dyDescent="0.4">
      <c r="I3115" s="1"/>
    </row>
    <row r="3123" spans="6:9" x14ac:dyDescent="0.4">
      <c r="I3123" s="1"/>
    </row>
    <row r="3126" spans="6:9" x14ac:dyDescent="0.4">
      <c r="F3126" s="1"/>
    </row>
    <row r="3142" spans="9:9" x14ac:dyDescent="0.4">
      <c r="I3142" s="1"/>
    </row>
    <row r="3150" spans="9:9" x14ac:dyDescent="0.4">
      <c r="I3150" s="1"/>
    </row>
    <row r="3154" spans="9:9" x14ac:dyDescent="0.4">
      <c r="I3154" s="1"/>
    </row>
    <row r="3159" spans="9:9" x14ac:dyDescent="0.4">
      <c r="I3159" s="1"/>
    </row>
    <row r="3164" spans="9:9" x14ac:dyDescent="0.4">
      <c r="I3164" s="1"/>
    </row>
    <row r="3165" spans="9:9" x14ac:dyDescent="0.4">
      <c r="I3165" s="1"/>
    </row>
    <row r="3166" spans="9:9" x14ac:dyDescent="0.4">
      <c r="I3166" s="1"/>
    </row>
    <row r="3171" spans="9:9" x14ac:dyDescent="0.4">
      <c r="I3171" s="1"/>
    </row>
    <row r="3176" spans="9:9" x14ac:dyDescent="0.4">
      <c r="I3176" s="1"/>
    </row>
    <row r="3177" spans="9:9" x14ac:dyDescent="0.4">
      <c r="I3177" s="1"/>
    </row>
    <row r="3183" spans="9:9" x14ac:dyDescent="0.4">
      <c r="I3183" s="1"/>
    </row>
    <row r="3185" spans="9:9" x14ac:dyDescent="0.4">
      <c r="I3185" s="1"/>
    </row>
    <row r="3186" spans="9:9" x14ac:dyDescent="0.4">
      <c r="I3186" s="1"/>
    </row>
    <row r="3197" spans="9:9" x14ac:dyDescent="0.4">
      <c r="I3197" s="1"/>
    </row>
    <row r="3200" spans="9:9" x14ac:dyDescent="0.4">
      <c r="I3200" s="1"/>
    </row>
    <row r="3205" spans="9:9" x14ac:dyDescent="0.4">
      <c r="I3205" s="1"/>
    </row>
    <row r="3206" spans="9:9" x14ac:dyDescent="0.4">
      <c r="I3206" s="1"/>
    </row>
    <row r="3207" spans="9:9" x14ac:dyDescent="0.4">
      <c r="I3207" s="1"/>
    </row>
    <row r="3209" spans="9:9" x14ac:dyDescent="0.4">
      <c r="I3209" s="1"/>
    </row>
    <row r="3210" spans="9:9" x14ac:dyDescent="0.4">
      <c r="I3210" s="1"/>
    </row>
    <row r="3217" spans="9:9" x14ac:dyDescent="0.4">
      <c r="I3217" s="1"/>
    </row>
    <row r="3229" spans="9:9" x14ac:dyDescent="0.4">
      <c r="I3229" s="1"/>
    </row>
    <row r="3242" spans="9:9" x14ac:dyDescent="0.4">
      <c r="I3242" s="1"/>
    </row>
    <row r="3252" spans="6:9" x14ac:dyDescent="0.4">
      <c r="F3252" s="1"/>
    </row>
    <row r="3253" spans="6:9" x14ac:dyDescent="0.4">
      <c r="I3253" s="1"/>
    </row>
    <row r="3254" spans="6:9" x14ac:dyDescent="0.4">
      <c r="I3254" s="1"/>
    </row>
    <row r="3256" spans="6:9" x14ac:dyDescent="0.4">
      <c r="F3256" s="1"/>
      <c r="I3256" s="1"/>
    </row>
    <row r="3259" spans="6:9" x14ac:dyDescent="0.4">
      <c r="F3259" s="1"/>
    </row>
    <row r="3262" spans="6:9" x14ac:dyDescent="0.4">
      <c r="F3262" s="1"/>
    </row>
    <row r="3263" spans="6:9" x14ac:dyDescent="0.4">
      <c r="F3263" s="1"/>
    </row>
    <row r="3265" spans="6:9" x14ac:dyDescent="0.4">
      <c r="I3265" s="1"/>
    </row>
    <row r="3267" spans="6:9" x14ac:dyDescent="0.4">
      <c r="F3267" s="1"/>
    </row>
    <row r="3269" spans="6:9" x14ac:dyDescent="0.4">
      <c r="F3269" s="1"/>
    </row>
    <row r="3271" spans="6:9" x14ac:dyDescent="0.4">
      <c r="I3271" s="1"/>
    </row>
    <row r="3274" spans="6:9" x14ac:dyDescent="0.4">
      <c r="I3274" s="1"/>
    </row>
    <row r="3275" spans="6:9" x14ac:dyDescent="0.4">
      <c r="I3275" s="1"/>
    </row>
    <row r="3276" spans="6:9" x14ac:dyDescent="0.4">
      <c r="F3276" s="1"/>
      <c r="I3276" s="1"/>
    </row>
    <row r="3280" spans="6:9" x14ac:dyDescent="0.4">
      <c r="I3280" s="1"/>
    </row>
    <row r="3282" spans="6:9" x14ac:dyDescent="0.4">
      <c r="I3282" s="1"/>
    </row>
    <row r="3284" spans="6:9" x14ac:dyDescent="0.4">
      <c r="F3284" s="1"/>
    </row>
    <row r="3287" spans="6:9" x14ac:dyDescent="0.4">
      <c r="I3287" s="1"/>
    </row>
    <row r="3288" spans="6:9" x14ac:dyDescent="0.4">
      <c r="I3288" s="1"/>
    </row>
    <row r="3291" spans="6:9" x14ac:dyDescent="0.4">
      <c r="I3291" s="1"/>
    </row>
    <row r="3293" spans="6:9" x14ac:dyDescent="0.4">
      <c r="I3293" s="1"/>
    </row>
    <row r="3296" spans="6:9" x14ac:dyDescent="0.4">
      <c r="F3296" s="1"/>
    </row>
    <row r="3298" spans="6:9" x14ac:dyDescent="0.4">
      <c r="F3298" s="1"/>
    </row>
    <row r="3299" spans="6:9" x14ac:dyDescent="0.4">
      <c r="I3299" s="1"/>
    </row>
    <row r="3300" spans="6:9" x14ac:dyDescent="0.4">
      <c r="F3300" s="1"/>
      <c r="I3300" s="1"/>
    </row>
    <row r="3301" spans="6:9" x14ac:dyDescent="0.4">
      <c r="F3301" s="1"/>
    </row>
    <row r="3303" spans="6:9" x14ac:dyDescent="0.4">
      <c r="I3303" s="1"/>
    </row>
    <row r="3308" spans="6:9" x14ac:dyDescent="0.4">
      <c r="I3308" s="1"/>
    </row>
    <row r="3313" spans="6:9" x14ac:dyDescent="0.4">
      <c r="F3313" s="1"/>
    </row>
    <row r="3315" spans="6:9" x14ac:dyDescent="0.4">
      <c r="F3315" s="1"/>
    </row>
    <row r="3318" spans="6:9" x14ac:dyDescent="0.4">
      <c r="F3318" s="1"/>
      <c r="I3318" s="1"/>
    </row>
    <row r="3321" spans="6:9" x14ac:dyDescent="0.4">
      <c r="F3321" s="1"/>
    </row>
    <row r="3324" spans="6:9" x14ac:dyDescent="0.4">
      <c r="F3324" s="1"/>
    </row>
    <row r="3326" spans="6:9" x14ac:dyDescent="0.4">
      <c r="I3326" s="1"/>
    </row>
    <row r="3327" spans="6:9" x14ac:dyDescent="0.4">
      <c r="F3327" s="1"/>
    </row>
    <row r="3330" spans="6:9" x14ac:dyDescent="0.4">
      <c r="F3330" s="1"/>
      <c r="I3330" s="1"/>
    </row>
    <row r="3332" spans="6:9" x14ac:dyDescent="0.4">
      <c r="F3332" s="1"/>
    </row>
    <row r="3333" spans="6:9" x14ac:dyDescent="0.4">
      <c r="F3333" s="1"/>
    </row>
    <row r="3334" spans="6:9" x14ac:dyDescent="0.4">
      <c r="I3334" s="1"/>
    </row>
    <row r="3338" spans="6:9" x14ac:dyDescent="0.4">
      <c r="F3338" s="1"/>
    </row>
    <row r="3340" spans="6:9" x14ac:dyDescent="0.4">
      <c r="I3340" s="1"/>
    </row>
    <row r="3341" spans="6:9" x14ac:dyDescent="0.4">
      <c r="I3341" s="1"/>
    </row>
    <row r="3350" spans="6:9" x14ac:dyDescent="0.4">
      <c r="F3350" s="1"/>
    </row>
    <row r="3351" spans="6:9" x14ac:dyDescent="0.4">
      <c r="I3351" s="1"/>
    </row>
    <row r="3353" spans="6:9" x14ac:dyDescent="0.4">
      <c r="I3353" s="1"/>
    </row>
    <row r="3356" spans="6:9" x14ac:dyDescent="0.4">
      <c r="I3356" s="1"/>
    </row>
    <row r="3357" spans="6:9" x14ac:dyDescent="0.4">
      <c r="I3357" s="1"/>
    </row>
    <row r="3358" spans="6:9" x14ac:dyDescent="0.4">
      <c r="I3358" s="1"/>
    </row>
    <row r="3361" spans="9:9" x14ac:dyDescent="0.4">
      <c r="I3361" s="1"/>
    </row>
    <row r="3362" spans="9:9" x14ac:dyDescent="0.4">
      <c r="I3362" s="1"/>
    </row>
    <row r="3371" spans="9:9" x14ac:dyDescent="0.4">
      <c r="I3371" s="1"/>
    </row>
    <row r="3378" spans="9:9" x14ac:dyDescent="0.4">
      <c r="I3378" s="1"/>
    </row>
    <row r="3381" spans="9:9" x14ac:dyDescent="0.4">
      <c r="I3381" s="1"/>
    </row>
    <row r="3382" spans="9:9" x14ac:dyDescent="0.4">
      <c r="I3382" s="1"/>
    </row>
    <row r="3386" spans="9:9" x14ac:dyDescent="0.4">
      <c r="I3386" s="1"/>
    </row>
    <row r="3387" spans="9:9" x14ac:dyDescent="0.4">
      <c r="I3387" s="1"/>
    </row>
    <row r="3390" spans="9:9" x14ac:dyDescent="0.4">
      <c r="I3390" s="1"/>
    </row>
    <row r="3396" spans="9:9" x14ac:dyDescent="0.4">
      <c r="I3396" s="1"/>
    </row>
    <row r="3397" spans="9:9" x14ac:dyDescent="0.4">
      <c r="I3397" s="1"/>
    </row>
    <row r="3398" spans="9:9" x14ac:dyDescent="0.4">
      <c r="I3398" s="1"/>
    </row>
    <row r="3404" spans="9:9" x14ac:dyDescent="0.4">
      <c r="I3404" s="1"/>
    </row>
    <row r="3430" spans="6:9" x14ac:dyDescent="0.4">
      <c r="I3430" s="1"/>
    </row>
    <row r="3432" spans="6:9" x14ac:dyDescent="0.4">
      <c r="I3432" s="1"/>
    </row>
    <row r="3434" spans="6:9" x14ac:dyDescent="0.4">
      <c r="I3434" s="1"/>
    </row>
    <row r="3438" spans="6:9" x14ac:dyDescent="0.4">
      <c r="F3438" s="1"/>
    </row>
    <row r="3444" spans="6:9" x14ac:dyDescent="0.4">
      <c r="F3444" s="1"/>
    </row>
    <row r="3446" spans="6:9" x14ac:dyDescent="0.4">
      <c r="I3446" s="1"/>
    </row>
    <row r="3455" spans="6:9" x14ac:dyDescent="0.4">
      <c r="I3455" s="1"/>
    </row>
    <row r="3457" spans="9:9" x14ac:dyDescent="0.4">
      <c r="I3457" s="1"/>
    </row>
    <row r="3458" spans="9:9" x14ac:dyDescent="0.4">
      <c r="I3458" s="1"/>
    </row>
    <row r="3465" spans="9:9" x14ac:dyDescent="0.4">
      <c r="I3465" s="1"/>
    </row>
    <row r="3467" spans="9:9" x14ac:dyDescent="0.4">
      <c r="I3467" s="1"/>
    </row>
    <row r="3475" spans="9:9" x14ac:dyDescent="0.4">
      <c r="I3475" s="1"/>
    </row>
    <row r="3480" spans="9:9" x14ac:dyDescent="0.4">
      <c r="I3480" s="1"/>
    </row>
    <row r="3489" spans="9:9" x14ac:dyDescent="0.4">
      <c r="I3489" s="1"/>
    </row>
    <row r="3496" spans="9:9" x14ac:dyDescent="0.4">
      <c r="I3496" s="1"/>
    </row>
    <row r="3501" spans="9:9" x14ac:dyDescent="0.4">
      <c r="I3501" s="1"/>
    </row>
    <row r="3505" spans="9:9" x14ac:dyDescent="0.4">
      <c r="I3505" s="1"/>
    </row>
    <row r="3507" spans="9:9" x14ac:dyDescent="0.4">
      <c r="I3507" s="1"/>
    </row>
    <row r="3511" spans="9:9" x14ac:dyDescent="0.4">
      <c r="I3511" s="1"/>
    </row>
    <row r="3512" spans="9:9" x14ac:dyDescent="0.4">
      <c r="I3512" s="1"/>
    </row>
    <row r="3517" spans="9:9" x14ac:dyDescent="0.4">
      <c r="I3517" s="1"/>
    </row>
    <row r="3518" spans="9:9" x14ac:dyDescent="0.4">
      <c r="I3518" s="1"/>
    </row>
    <row r="3521" spans="9:9" x14ac:dyDescent="0.4">
      <c r="I3521" s="1"/>
    </row>
    <row r="3522" spans="9:9" x14ac:dyDescent="0.4">
      <c r="I3522" s="1"/>
    </row>
    <row r="3531" spans="9:9" x14ac:dyDescent="0.4">
      <c r="I3531" s="1"/>
    </row>
    <row r="3532" spans="9:9" x14ac:dyDescent="0.4">
      <c r="I3532" s="1"/>
    </row>
    <row r="3533" spans="9:9" x14ac:dyDescent="0.4">
      <c r="I3533" s="1"/>
    </row>
    <row r="3536" spans="9:9" x14ac:dyDescent="0.4">
      <c r="I3536" s="1"/>
    </row>
    <row r="3544" spans="9:9" x14ac:dyDescent="0.4">
      <c r="I3544" s="1"/>
    </row>
    <row r="3545" spans="9:9" x14ac:dyDescent="0.4">
      <c r="I3545" s="1"/>
    </row>
    <row r="3546" spans="9:9" x14ac:dyDescent="0.4">
      <c r="I3546" s="1"/>
    </row>
    <row r="3548" spans="9:9" x14ac:dyDescent="0.4">
      <c r="I3548" s="1"/>
    </row>
    <row r="3550" spans="9:9" x14ac:dyDescent="0.4">
      <c r="I3550" s="1"/>
    </row>
    <row r="3553" spans="9:9" x14ac:dyDescent="0.4">
      <c r="I3553" s="1"/>
    </row>
    <row r="3554" spans="9:9" x14ac:dyDescent="0.4">
      <c r="I3554" s="1"/>
    </row>
    <row r="3555" spans="9:9" x14ac:dyDescent="0.4">
      <c r="I3555" s="1"/>
    </row>
    <row r="3560" spans="9:9" x14ac:dyDescent="0.4">
      <c r="I3560" s="1"/>
    </row>
    <row r="3565" spans="9:9" x14ac:dyDescent="0.4">
      <c r="I3565" s="1"/>
    </row>
    <row r="3568" spans="9:9" x14ac:dyDescent="0.4">
      <c r="I3568" s="1"/>
    </row>
    <row r="3569" spans="9:9" x14ac:dyDescent="0.4">
      <c r="I3569" s="1"/>
    </row>
    <row r="3570" spans="9:9" x14ac:dyDescent="0.4">
      <c r="I3570" s="1"/>
    </row>
    <row r="3576" spans="9:9" x14ac:dyDescent="0.4">
      <c r="I3576" s="1"/>
    </row>
    <row r="3578" spans="9:9" x14ac:dyDescent="0.4">
      <c r="I3578" s="1"/>
    </row>
    <row r="3581" spans="9:9" x14ac:dyDescent="0.4">
      <c r="I3581" s="1"/>
    </row>
    <row r="3582" spans="9:9" x14ac:dyDescent="0.4">
      <c r="I3582" s="1"/>
    </row>
    <row r="3583" spans="9:9" x14ac:dyDescent="0.4">
      <c r="I3583" s="1"/>
    </row>
    <row r="3584" spans="9:9" x14ac:dyDescent="0.4">
      <c r="I3584" s="1"/>
    </row>
    <row r="3593" spans="9:9" x14ac:dyDescent="0.4">
      <c r="I3593" s="1"/>
    </row>
    <row r="3596" spans="9:9" x14ac:dyDescent="0.4">
      <c r="I3596" s="1"/>
    </row>
    <row r="3608" spans="9:9" x14ac:dyDescent="0.4">
      <c r="I3608" s="1"/>
    </row>
    <row r="3613" spans="9:9" x14ac:dyDescent="0.4">
      <c r="I3613" s="1"/>
    </row>
    <row r="3623" spans="9:9" x14ac:dyDescent="0.4">
      <c r="I3623" s="1"/>
    </row>
    <row r="3631" spans="9:9" x14ac:dyDescent="0.4">
      <c r="I3631" s="1"/>
    </row>
    <row r="3641" spans="9:9" x14ac:dyDescent="0.4">
      <c r="I3641" s="1"/>
    </row>
    <row r="3653" spans="9:9" x14ac:dyDescent="0.4">
      <c r="I3653" s="1"/>
    </row>
    <row r="3660" spans="9:9" x14ac:dyDescent="0.4">
      <c r="I3660" s="1"/>
    </row>
    <row r="3666" spans="9:9" x14ac:dyDescent="0.4">
      <c r="I3666" s="1"/>
    </row>
    <row r="3667" spans="9:9" x14ac:dyDescent="0.4">
      <c r="I3667" s="1"/>
    </row>
    <row r="3668" spans="9:9" x14ac:dyDescent="0.4">
      <c r="I3668" s="1"/>
    </row>
    <row r="3671" spans="9:9" x14ac:dyDescent="0.4">
      <c r="I3671" s="1"/>
    </row>
    <row r="3674" spans="9:9" x14ac:dyDescent="0.4">
      <c r="I3674" s="1"/>
    </row>
    <row r="3675" spans="9:9" x14ac:dyDescent="0.4">
      <c r="I3675" s="1"/>
    </row>
    <row r="3678" spans="9:9" x14ac:dyDescent="0.4">
      <c r="I3678" s="1"/>
    </row>
    <row r="3679" spans="9:9" x14ac:dyDescent="0.4">
      <c r="I3679" s="1"/>
    </row>
    <row r="3680" spans="9:9" x14ac:dyDescent="0.4">
      <c r="I3680" s="1"/>
    </row>
    <row r="3684" spans="9:9" x14ac:dyDescent="0.4">
      <c r="I3684" s="1"/>
    </row>
    <row r="3690" spans="9:9" x14ac:dyDescent="0.4">
      <c r="I3690" s="1"/>
    </row>
    <row r="3692" spans="9:9" x14ac:dyDescent="0.4">
      <c r="I3692" s="1"/>
    </row>
    <row r="3702" spans="9:9" x14ac:dyDescent="0.4">
      <c r="I3702" s="1"/>
    </row>
    <row r="3703" spans="9:9" x14ac:dyDescent="0.4">
      <c r="I3703" s="1"/>
    </row>
    <row r="3706" spans="9:9" x14ac:dyDescent="0.4">
      <c r="I3706" s="1"/>
    </row>
    <row r="3709" spans="9:9" x14ac:dyDescent="0.4">
      <c r="I3709" s="1"/>
    </row>
    <row r="3711" spans="9:9" x14ac:dyDescent="0.4">
      <c r="I3711" s="1"/>
    </row>
    <row r="3719" spans="9:9" x14ac:dyDescent="0.4">
      <c r="I3719" s="1"/>
    </row>
    <row r="3726" spans="9:9" x14ac:dyDescent="0.4">
      <c r="I3726" s="1"/>
    </row>
    <row r="3733" spans="9:9" x14ac:dyDescent="0.4">
      <c r="I3733" s="1"/>
    </row>
    <row r="3735" spans="9:9" x14ac:dyDescent="0.4">
      <c r="I3735" s="1"/>
    </row>
    <row r="3739" spans="9:9" x14ac:dyDescent="0.4">
      <c r="I3739" s="1"/>
    </row>
    <row r="3740" spans="9:9" x14ac:dyDescent="0.4">
      <c r="I3740" s="1"/>
    </row>
    <row r="3750" spans="9:9" x14ac:dyDescent="0.4">
      <c r="I3750" s="1"/>
    </row>
    <row r="3757" spans="9:9" x14ac:dyDescent="0.4">
      <c r="I3757" s="1"/>
    </row>
    <row r="3760" spans="9:9" x14ac:dyDescent="0.4">
      <c r="I3760" s="1"/>
    </row>
    <row r="3764" spans="9:9" x14ac:dyDescent="0.4">
      <c r="I3764" s="1"/>
    </row>
    <row r="3775" spans="9:9" x14ac:dyDescent="0.4">
      <c r="I3775" s="1"/>
    </row>
    <row r="3797" spans="9:9" x14ac:dyDescent="0.4">
      <c r="I3797" s="1"/>
    </row>
    <row r="3808" spans="9:9" x14ac:dyDescent="0.4">
      <c r="I3808" s="1"/>
    </row>
    <row r="3830" spans="9:9" x14ac:dyDescent="0.4">
      <c r="I3830" s="1"/>
    </row>
    <row r="3876" spans="9:9" x14ac:dyDescent="0.4">
      <c r="I3876" s="1"/>
    </row>
    <row r="3880" spans="9:9" x14ac:dyDescent="0.4">
      <c r="I3880" s="1"/>
    </row>
    <row r="3882" spans="9:9" x14ac:dyDescent="0.4">
      <c r="I3882" s="1"/>
    </row>
    <row r="3886" spans="9:9" x14ac:dyDescent="0.4">
      <c r="I3886" s="1"/>
    </row>
    <row r="3896" spans="9:9" x14ac:dyDescent="0.4">
      <c r="I3896" s="1"/>
    </row>
    <row r="3897" spans="9:9" x14ac:dyDescent="0.4">
      <c r="I3897" s="1"/>
    </row>
    <row r="3902" spans="9:9" x14ac:dyDescent="0.4">
      <c r="I3902" s="1"/>
    </row>
    <row r="3905" spans="9:9" x14ac:dyDescent="0.4">
      <c r="I3905" s="1"/>
    </row>
    <row r="3908" spans="9:9" x14ac:dyDescent="0.4">
      <c r="I3908" s="1"/>
    </row>
    <row r="3912" spans="9:9" x14ac:dyDescent="0.4">
      <c r="I3912" s="1"/>
    </row>
    <row r="3916" spans="9:9" x14ac:dyDescent="0.4">
      <c r="I3916" s="1"/>
    </row>
    <row r="3918" spans="9:9" x14ac:dyDescent="0.4">
      <c r="I3918" s="1"/>
    </row>
    <row r="3919" spans="9:9" x14ac:dyDescent="0.4">
      <c r="I3919" s="1"/>
    </row>
    <row r="3928" spans="9:9" x14ac:dyDescent="0.4">
      <c r="I3928" s="1"/>
    </row>
    <row r="3931" spans="9:9" x14ac:dyDescent="0.4">
      <c r="I3931" s="1"/>
    </row>
    <row r="3948" spans="9:9" x14ac:dyDescent="0.4">
      <c r="I3948" s="1"/>
    </row>
    <row r="3950" spans="9:9" x14ac:dyDescent="0.4">
      <c r="I3950" s="1"/>
    </row>
    <row r="3954" spans="9:9" x14ac:dyDescent="0.4">
      <c r="I3954" s="1"/>
    </row>
    <row r="3962" spans="9:9" x14ac:dyDescent="0.4">
      <c r="I3962" s="1"/>
    </row>
    <row r="3969" spans="9:9" x14ac:dyDescent="0.4">
      <c r="I3969" s="1"/>
    </row>
    <row r="3974" spans="9:9" x14ac:dyDescent="0.4">
      <c r="I3974" s="1"/>
    </row>
    <row r="3978" spans="9:9" x14ac:dyDescent="0.4">
      <c r="I3978" s="1"/>
    </row>
    <row r="3983" spans="9:9" x14ac:dyDescent="0.4">
      <c r="I3983" s="1"/>
    </row>
    <row r="3987" spans="9:9" x14ac:dyDescent="0.4">
      <c r="I3987" s="1"/>
    </row>
    <row r="3988" spans="9:9" x14ac:dyDescent="0.4">
      <c r="I3988" s="1"/>
    </row>
    <row r="3991" spans="9:9" x14ac:dyDescent="0.4">
      <c r="I3991" s="1"/>
    </row>
    <row r="3993" spans="9:9" x14ac:dyDescent="0.4">
      <c r="I3993" s="1"/>
    </row>
    <row r="3995" spans="9:9" x14ac:dyDescent="0.4">
      <c r="I3995" s="1"/>
    </row>
    <row r="4004" spans="9:9" x14ac:dyDescent="0.4">
      <c r="I4004" s="1"/>
    </row>
    <row r="4012" spans="9:9" x14ac:dyDescent="0.4">
      <c r="I4012" s="1"/>
    </row>
    <row r="4022" spans="9:9" x14ac:dyDescent="0.4">
      <c r="I4022" s="1"/>
    </row>
    <row r="4025" spans="9:9" x14ac:dyDescent="0.4">
      <c r="I4025" s="1"/>
    </row>
    <row r="4026" spans="9:9" x14ac:dyDescent="0.4">
      <c r="I4026" s="1"/>
    </row>
    <row r="4027" spans="9:9" x14ac:dyDescent="0.4">
      <c r="I4027" s="1"/>
    </row>
    <row r="4028" spans="9:9" x14ac:dyDescent="0.4">
      <c r="I4028" s="1"/>
    </row>
    <row r="4031" spans="9:9" x14ac:dyDescent="0.4">
      <c r="I4031" s="1"/>
    </row>
    <row r="4036" spans="9:9" x14ac:dyDescent="0.4">
      <c r="I4036" s="1"/>
    </row>
    <row r="4041" spans="9:9" x14ac:dyDescent="0.4">
      <c r="I4041" s="1"/>
    </row>
    <row r="4042" spans="9:9" x14ac:dyDescent="0.4">
      <c r="I4042" s="1"/>
    </row>
    <row r="4046" spans="9:9" x14ac:dyDescent="0.4">
      <c r="I4046" s="1"/>
    </row>
    <row r="4050" spans="9:9" x14ac:dyDescent="0.4">
      <c r="I4050" s="1"/>
    </row>
    <row r="4055" spans="9:9" x14ac:dyDescent="0.4">
      <c r="I4055" s="1"/>
    </row>
    <row r="4056" spans="9:9" x14ac:dyDescent="0.4">
      <c r="I4056" s="1"/>
    </row>
    <row r="4057" spans="9:9" x14ac:dyDescent="0.4">
      <c r="I4057" s="1"/>
    </row>
    <row r="4058" spans="9:9" x14ac:dyDescent="0.4">
      <c r="I4058" s="1"/>
    </row>
    <row r="4065" spans="9:9" x14ac:dyDescent="0.4">
      <c r="I4065" s="1"/>
    </row>
    <row r="4066" spans="9:9" x14ac:dyDescent="0.4">
      <c r="I4066" s="1"/>
    </row>
    <row r="4069" spans="9:9" x14ac:dyDescent="0.4">
      <c r="I4069" s="1"/>
    </row>
    <row r="4087" spans="9:9" x14ac:dyDescent="0.4">
      <c r="I4087" s="1"/>
    </row>
    <row r="4095" spans="9:9" x14ac:dyDescent="0.4">
      <c r="I4095" s="1"/>
    </row>
    <row r="4100" spans="9:9" x14ac:dyDescent="0.4">
      <c r="I4100" s="1"/>
    </row>
    <row r="4103" spans="9:9" x14ac:dyDescent="0.4">
      <c r="I4103" s="1"/>
    </row>
    <row r="4109" spans="9:9" x14ac:dyDescent="0.4">
      <c r="I4109" s="1"/>
    </row>
    <row r="4111" spans="9:9" x14ac:dyDescent="0.4">
      <c r="I4111" s="1"/>
    </row>
    <row r="4121" spans="9:9" x14ac:dyDescent="0.4">
      <c r="I4121" s="1"/>
    </row>
    <row r="4133" spans="9:9" x14ac:dyDescent="0.4">
      <c r="I4133" s="1"/>
    </row>
    <row r="4134" spans="9:9" x14ac:dyDescent="0.4">
      <c r="I4134" s="1"/>
    </row>
    <row r="4135" spans="9:9" x14ac:dyDescent="0.4">
      <c r="I4135" s="1"/>
    </row>
    <row r="4137" spans="9:9" x14ac:dyDescent="0.4">
      <c r="I4137" s="1"/>
    </row>
    <row r="4146" spans="9:9" x14ac:dyDescent="0.4">
      <c r="I4146" s="1"/>
    </row>
    <row r="4147" spans="9:9" x14ac:dyDescent="0.4">
      <c r="I4147" s="1"/>
    </row>
    <row r="4151" spans="9:9" x14ac:dyDescent="0.4">
      <c r="I4151" s="1"/>
    </row>
    <row r="4158" spans="9:9" x14ac:dyDescent="0.4">
      <c r="I4158" s="1"/>
    </row>
    <row r="4165" spans="9:9" x14ac:dyDescent="0.4">
      <c r="I4165" s="1"/>
    </row>
    <row r="4166" spans="9:9" x14ac:dyDescent="0.4">
      <c r="I4166" s="1"/>
    </row>
    <row r="4170" spans="9:9" x14ac:dyDescent="0.4">
      <c r="I4170" s="1"/>
    </row>
    <row r="4172" spans="9:9" x14ac:dyDescent="0.4">
      <c r="I4172" s="1"/>
    </row>
    <row r="4173" spans="9:9" x14ac:dyDescent="0.4">
      <c r="I4173" s="1"/>
    </row>
    <row r="4185" spans="9:9" x14ac:dyDescent="0.4">
      <c r="I4185" s="1"/>
    </row>
    <row r="4187" spans="9:9" x14ac:dyDescent="0.4">
      <c r="I4187" s="1"/>
    </row>
    <row r="4195" spans="9:9" x14ac:dyDescent="0.4">
      <c r="I4195" s="1"/>
    </row>
    <row r="4200" spans="9:9" x14ac:dyDescent="0.4">
      <c r="I4200" s="1"/>
    </row>
    <row r="4201" spans="9:9" x14ac:dyDescent="0.4">
      <c r="I4201" s="1"/>
    </row>
    <row r="4202" spans="9:9" x14ac:dyDescent="0.4">
      <c r="I4202" s="1"/>
    </row>
    <row r="4205" spans="9:9" x14ac:dyDescent="0.4">
      <c r="I4205" s="1"/>
    </row>
    <row r="4206" spans="9:9" x14ac:dyDescent="0.4">
      <c r="I4206" s="1"/>
    </row>
    <row r="4214" spans="9:9" x14ac:dyDescent="0.4">
      <c r="I4214" s="1"/>
    </row>
    <row r="4216" spans="9:9" x14ac:dyDescent="0.4">
      <c r="I4216" s="1"/>
    </row>
    <row r="4219" spans="9:9" x14ac:dyDescent="0.4">
      <c r="I4219" s="1"/>
    </row>
    <row r="4220" spans="9:9" x14ac:dyDescent="0.4">
      <c r="I4220" s="1"/>
    </row>
    <row r="4221" spans="9:9" x14ac:dyDescent="0.4">
      <c r="I4221" s="1"/>
    </row>
    <row r="4228" spans="9:9" x14ac:dyDescent="0.4">
      <c r="I4228" s="1"/>
    </row>
    <row r="4235" spans="9:9" x14ac:dyDescent="0.4">
      <c r="I4235" s="1"/>
    </row>
    <row r="4239" spans="9:9" x14ac:dyDescent="0.4">
      <c r="I4239" s="1"/>
    </row>
    <row r="4246" spans="9:9" x14ac:dyDescent="0.4">
      <c r="I4246" s="1"/>
    </row>
    <row r="4247" spans="9:9" x14ac:dyDescent="0.4">
      <c r="I4247" s="1"/>
    </row>
    <row r="4251" spans="9:9" x14ac:dyDescent="0.4">
      <c r="I4251" s="1"/>
    </row>
    <row r="4255" spans="9:9" x14ac:dyDescent="0.4">
      <c r="I4255" s="1"/>
    </row>
    <row r="4258" spans="9:9" x14ac:dyDescent="0.4">
      <c r="I4258" s="1"/>
    </row>
    <row r="4269" spans="9:9" x14ac:dyDescent="0.4">
      <c r="I4269" s="1"/>
    </row>
    <row r="4271" spans="9:9" x14ac:dyDescent="0.4">
      <c r="I4271" s="1"/>
    </row>
    <row r="4273" spans="9:9" x14ac:dyDescent="0.4">
      <c r="I4273" s="1"/>
    </row>
    <row r="4275" spans="9:9" x14ac:dyDescent="0.4">
      <c r="I4275" s="1"/>
    </row>
    <row r="4278" spans="9:9" x14ac:dyDescent="0.4">
      <c r="I4278" s="1"/>
    </row>
    <row r="4281" spans="9:9" x14ac:dyDescent="0.4">
      <c r="I4281" s="1"/>
    </row>
    <row r="4283" spans="9:9" x14ac:dyDescent="0.4">
      <c r="I4283" s="1"/>
    </row>
    <row r="4291" spans="9:9" x14ac:dyDescent="0.4">
      <c r="I4291" s="1"/>
    </row>
    <row r="4303" spans="9:9" x14ac:dyDescent="0.4">
      <c r="I4303" s="1"/>
    </row>
    <row r="4306" spans="9:9" x14ac:dyDescent="0.4">
      <c r="I4306" s="1"/>
    </row>
    <row r="4316" spans="9:9" x14ac:dyDescent="0.4">
      <c r="I4316" s="1"/>
    </row>
    <row r="4318" spans="9:9" x14ac:dyDescent="0.4">
      <c r="I4318" s="1"/>
    </row>
    <row r="4322" spans="6:9" x14ac:dyDescent="0.4">
      <c r="I4322" s="1"/>
    </row>
    <row r="4327" spans="6:9" x14ac:dyDescent="0.4">
      <c r="I4327" s="1"/>
    </row>
    <row r="4336" spans="6:9" x14ac:dyDescent="0.4">
      <c r="F4336" s="1"/>
    </row>
    <row r="4338" spans="9:9" x14ac:dyDescent="0.4">
      <c r="I4338" s="1"/>
    </row>
    <row r="4346" spans="9:9" x14ac:dyDescent="0.4">
      <c r="I4346" s="1"/>
    </row>
    <row r="4348" spans="9:9" x14ac:dyDescent="0.4">
      <c r="I4348" s="1"/>
    </row>
    <row r="4349" spans="9:9" x14ac:dyDescent="0.4">
      <c r="I4349" s="1"/>
    </row>
    <row r="4351" spans="9:9" x14ac:dyDescent="0.4">
      <c r="I4351" s="1"/>
    </row>
    <row r="4356" spans="9:9" x14ac:dyDescent="0.4">
      <c r="I4356" s="1"/>
    </row>
    <row r="4357" spans="9:9" x14ac:dyDescent="0.4">
      <c r="I4357" s="1"/>
    </row>
    <row r="4360" spans="9:9" x14ac:dyDescent="0.4">
      <c r="I4360" s="1"/>
    </row>
    <row r="4367" spans="9:9" x14ac:dyDescent="0.4">
      <c r="I4367" s="1"/>
    </row>
    <row r="4368" spans="9:9" x14ac:dyDescent="0.4">
      <c r="I4368" s="1"/>
    </row>
    <row r="4369" spans="6:9" x14ac:dyDescent="0.4">
      <c r="F4369" s="1"/>
    </row>
    <row r="4371" spans="6:9" x14ac:dyDescent="0.4">
      <c r="I4371" s="1"/>
    </row>
    <row r="4375" spans="6:9" x14ac:dyDescent="0.4">
      <c r="I4375" s="1"/>
    </row>
    <row r="4377" spans="6:9" x14ac:dyDescent="0.4">
      <c r="I4377" s="1"/>
    </row>
    <row r="4381" spans="6:9" x14ac:dyDescent="0.4">
      <c r="I4381" s="1"/>
    </row>
    <row r="4383" spans="6:9" x14ac:dyDescent="0.4">
      <c r="I4383" s="1"/>
    </row>
    <row r="4384" spans="6:9" x14ac:dyDescent="0.4">
      <c r="I4384" s="1"/>
    </row>
    <row r="4385" spans="9:9" x14ac:dyDescent="0.4">
      <c r="I4385" s="1"/>
    </row>
    <row r="4399" spans="9:9" x14ac:dyDescent="0.4">
      <c r="I4399" s="1"/>
    </row>
    <row r="4400" spans="9:9" x14ac:dyDescent="0.4">
      <c r="I4400" s="1"/>
    </row>
    <row r="4401" spans="9:9" x14ac:dyDescent="0.4">
      <c r="I4401" s="1"/>
    </row>
    <row r="4402" spans="9:9" x14ac:dyDescent="0.4">
      <c r="I4402" s="1"/>
    </row>
    <row r="4404" spans="9:9" x14ac:dyDescent="0.4">
      <c r="I4404" s="1"/>
    </row>
    <row r="4405" spans="9:9" x14ac:dyDescent="0.4">
      <c r="I4405" s="1"/>
    </row>
    <row r="4422" spans="9:9" x14ac:dyDescent="0.4">
      <c r="I4422" s="1"/>
    </row>
    <row r="4424" spans="9:9" x14ac:dyDescent="0.4">
      <c r="I4424" s="1"/>
    </row>
    <row r="4429" spans="9:9" x14ac:dyDescent="0.4">
      <c r="I4429" s="1"/>
    </row>
    <row r="4448" spans="9:9" x14ac:dyDescent="0.4">
      <c r="I4448" s="1"/>
    </row>
    <row r="4450" spans="9:9" x14ac:dyDescent="0.4">
      <c r="I4450" s="1"/>
    </row>
    <row r="4452" spans="9:9" x14ac:dyDescent="0.4">
      <c r="I4452" s="1"/>
    </row>
    <row r="4454" spans="9:9" x14ac:dyDescent="0.4">
      <c r="I4454" s="1"/>
    </row>
    <row r="4455" spans="9:9" x14ac:dyDescent="0.4">
      <c r="I4455" s="1"/>
    </row>
    <row r="4459" spans="9:9" x14ac:dyDescent="0.4">
      <c r="I4459" s="1"/>
    </row>
    <row r="4460" spans="9:9" x14ac:dyDescent="0.4">
      <c r="I4460" s="1"/>
    </row>
    <row r="4469" spans="9:9" x14ac:dyDescent="0.4">
      <c r="I4469" s="1"/>
    </row>
    <row r="4470" spans="9:9" x14ac:dyDescent="0.4">
      <c r="I4470" s="1"/>
    </row>
    <row r="4471" spans="9:9" x14ac:dyDescent="0.4">
      <c r="I4471" s="1"/>
    </row>
    <row r="4472" spans="9:9" x14ac:dyDescent="0.4">
      <c r="I4472" s="1"/>
    </row>
    <row r="4476" spans="9:9" x14ac:dyDescent="0.4">
      <c r="I4476" s="1"/>
    </row>
    <row r="4481" spans="9:9" x14ac:dyDescent="0.4">
      <c r="I4481" s="1"/>
    </row>
    <row r="4485" spans="9:9" x14ac:dyDescent="0.4">
      <c r="I4485" s="1"/>
    </row>
    <row r="4486" spans="9:9" x14ac:dyDescent="0.4">
      <c r="I4486" s="1"/>
    </row>
    <row r="4488" spans="9:9" x14ac:dyDescent="0.4">
      <c r="I4488" s="1"/>
    </row>
    <row r="4493" spans="9:9" x14ac:dyDescent="0.4">
      <c r="I4493" s="1"/>
    </row>
    <row r="4500" spans="9:9" x14ac:dyDescent="0.4">
      <c r="I4500" s="1"/>
    </row>
    <row r="4512" spans="9:9" x14ac:dyDescent="0.4">
      <c r="I4512" s="1"/>
    </row>
    <row r="4514" spans="9:9" x14ac:dyDescent="0.4">
      <c r="I4514" s="1"/>
    </row>
    <row r="4515" spans="9:9" x14ac:dyDescent="0.4">
      <c r="I4515" s="1"/>
    </row>
    <row r="4517" spans="9:9" x14ac:dyDescent="0.4">
      <c r="I4517" s="1"/>
    </row>
    <row r="4518" spans="9:9" x14ac:dyDescent="0.4">
      <c r="I4518" s="1"/>
    </row>
    <row r="4521" spans="9:9" x14ac:dyDescent="0.4">
      <c r="I4521" s="1"/>
    </row>
    <row r="4530" spans="6:9" x14ac:dyDescent="0.4">
      <c r="F4530" s="1"/>
    </row>
    <row r="4531" spans="6:9" x14ac:dyDescent="0.4">
      <c r="I4531" s="1"/>
    </row>
    <row r="4538" spans="6:9" x14ac:dyDescent="0.4">
      <c r="I4538" s="1"/>
    </row>
    <row r="4543" spans="6:9" x14ac:dyDescent="0.4">
      <c r="I4543" s="1"/>
    </row>
    <row r="4546" spans="6:9" x14ac:dyDescent="0.4">
      <c r="I4546" s="1"/>
    </row>
    <row r="4547" spans="6:9" x14ac:dyDescent="0.4">
      <c r="I4547" s="1"/>
    </row>
    <row r="4550" spans="6:9" x14ac:dyDescent="0.4">
      <c r="I4550" s="1"/>
    </row>
    <row r="4551" spans="6:9" x14ac:dyDescent="0.4">
      <c r="F4551" s="1"/>
      <c r="I4551" s="1"/>
    </row>
    <row r="4553" spans="6:9" x14ac:dyDescent="0.4">
      <c r="F4553" s="1"/>
    </row>
    <row r="4555" spans="6:9" x14ac:dyDescent="0.4">
      <c r="F4555" s="1"/>
    </row>
    <row r="4556" spans="6:9" x14ac:dyDescent="0.4">
      <c r="I4556" s="1"/>
    </row>
    <row r="4558" spans="6:9" x14ac:dyDescent="0.4">
      <c r="F4558" s="1"/>
      <c r="I4558" s="1"/>
    </row>
    <row r="4559" spans="6:9" x14ac:dyDescent="0.4">
      <c r="F4559" s="1"/>
    </row>
    <row r="4560" spans="6:9" x14ac:dyDescent="0.4">
      <c r="F4560" s="1"/>
    </row>
    <row r="4562" spans="6:9" x14ac:dyDescent="0.4">
      <c r="I4562" s="1"/>
    </row>
    <row r="4565" spans="6:9" x14ac:dyDescent="0.4">
      <c r="F4565" s="1"/>
    </row>
    <row r="4566" spans="6:9" x14ac:dyDescent="0.4">
      <c r="F4566" s="1"/>
    </row>
    <row r="4567" spans="6:9" x14ac:dyDescent="0.4">
      <c r="I4567" s="1"/>
    </row>
    <row r="4573" spans="6:9" x14ac:dyDescent="0.4">
      <c r="I4573" s="1"/>
    </row>
    <row r="4575" spans="6:9" x14ac:dyDescent="0.4">
      <c r="I4575" s="1"/>
    </row>
    <row r="4576" spans="6:9" x14ac:dyDescent="0.4">
      <c r="F4576" s="1"/>
      <c r="I4576" s="1"/>
    </row>
    <row r="4578" spans="6:9" x14ac:dyDescent="0.4">
      <c r="I4578" s="1"/>
    </row>
    <row r="4579" spans="6:9" x14ac:dyDescent="0.4">
      <c r="F4579" s="1"/>
    </row>
    <row r="4580" spans="6:9" x14ac:dyDescent="0.4">
      <c r="F4580" s="1"/>
    </row>
    <row r="4583" spans="6:9" x14ac:dyDescent="0.4">
      <c r="F4583" s="1"/>
    </row>
    <row r="4584" spans="6:9" x14ac:dyDescent="0.4">
      <c r="I4584" s="1"/>
    </row>
    <row r="4588" spans="6:9" x14ac:dyDescent="0.4">
      <c r="F4588" s="1"/>
    </row>
    <row r="4590" spans="6:9" x14ac:dyDescent="0.4">
      <c r="F4590" s="1"/>
    </row>
    <row r="4592" spans="6:9" x14ac:dyDescent="0.4">
      <c r="F4592" s="1"/>
    </row>
    <row r="4593" spans="6:9" x14ac:dyDescent="0.4">
      <c r="F4593" s="1"/>
    </row>
    <row r="4599" spans="6:9" x14ac:dyDescent="0.4">
      <c r="F4599" s="1"/>
    </row>
    <row r="4600" spans="6:9" x14ac:dyDescent="0.4">
      <c r="I4600" s="1"/>
    </row>
    <row r="4605" spans="6:9" x14ac:dyDescent="0.4">
      <c r="I4605" s="1"/>
    </row>
    <row r="4606" spans="6:9" x14ac:dyDescent="0.4">
      <c r="I4606" s="1"/>
    </row>
    <row r="4608" spans="6:9" x14ac:dyDescent="0.4">
      <c r="F4608" s="1"/>
    </row>
    <row r="4609" spans="6:9" x14ac:dyDescent="0.4">
      <c r="F4609" s="1"/>
    </row>
    <row r="4610" spans="6:9" x14ac:dyDescent="0.4">
      <c r="I4610" s="1"/>
    </row>
    <row r="4612" spans="6:9" x14ac:dyDescent="0.4">
      <c r="F4612" s="1"/>
    </row>
    <row r="4613" spans="6:9" x14ac:dyDescent="0.4">
      <c r="F4613" s="1"/>
    </row>
    <row r="4615" spans="6:9" x14ac:dyDescent="0.4">
      <c r="F4615" s="1"/>
    </row>
    <row r="4618" spans="6:9" x14ac:dyDescent="0.4">
      <c r="I4618" s="1"/>
    </row>
    <row r="4620" spans="6:9" x14ac:dyDescent="0.4">
      <c r="F4620" s="1"/>
    </row>
    <row r="4621" spans="6:9" x14ac:dyDescent="0.4">
      <c r="F4621" s="1"/>
    </row>
    <row r="4623" spans="6:9" x14ac:dyDescent="0.4">
      <c r="I4623" s="1"/>
    </row>
    <row r="4625" spans="6:9" x14ac:dyDescent="0.4">
      <c r="F4625" s="1"/>
    </row>
    <row r="4626" spans="6:9" x14ac:dyDescent="0.4">
      <c r="F4626" s="1"/>
    </row>
    <row r="4628" spans="6:9" x14ac:dyDescent="0.4">
      <c r="I4628" s="1"/>
    </row>
    <row r="4630" spans="6:9" x14ac:dyDescent="0.4">
      <c r="F4630" s="1"/>
    </row>
    <row r="4635" spans="6:9" x14ac:dyDescent="0.4">
      <c r="I4635" s="1"/>
    </row>
    <row r="4640" spans="6:9" x14ac:dyDescent="0.4">
      <c r="I4640" s="1"/>
    </row>
    <row r="4641" spans="6:9" x14ac:dyDescent="0.4">
      <c r="I4641" s="1"/>
    </row>
    <row r="4642" spans="6:9" x14ac:dyDescent="0.4">
      <c r="F4642" s="1"/>
    </row>
    <row r="4644" spans="6:9" x14ac:dyDescent="0.4">
      <c r="I4644" s="1"/>
    </row>
    <row r="4645" spans="6:9" x14ac:dyDescent="0.4">
      <c r="F4645" s="1"/>
    </row>
    <row r="4647" spans="6:9" x14ac:dyDescent="0.4">
      <c r="I4647" s="1"/>
    </row>
    <row r="4649" spans="6:9" x14ac:dyDescent="0.4">
      <c r="I4649" s="1"/>
    </row>
    <row r="4650" spans="6:9" x14ac:dyDescent="0.4">
      <c r="F4650" s="1"/>
    </row>
    <row r="4654" spans="6:9" x14ac:dyDescent="0.4">
      <c r="I4654" s="1"/>
    </row>
    <row r="4657" spans="6:9" x14ac:dyDescent="0.4">
      <c r="I4657" s="1"/>
    </row>
    <row r="4660" spans="6:9" x14ac:dyDescent="0.4">
      <c r="I4660" s="1"/>
    </row>
    <row r="4665" spans="6:9" x14ac:dyDescent="0.4">
      <c r="I4665" s="1"/>
    </row>
    <row r="4668" spans="6:9" x14ac:dyDescent="0.4">
      <c r="I4668" s="1"/>
    </row>
    <row r="4672" spans="6:9" x14ac:dyDescent="0.4">
      <c r="F4672" s="1"/>
    </row>
    <row r="4674" spans="6:9" x14ac:dyDescent="0.4">
      <c r="I4674" s="1"/>
    </row>
    <row r="4676" spans="6:9" x14ac:dyDescent="0.4">
      <c r="F4676" s="1"/>
      <c r="I4676" s="1"/>
    </row>
    <row r="4678" spans="6:9" x14ac:dyDescent="0.4">
      <c r="F4678" s="1"/>
    </row>
    <row r="4679" spans="6:9" x14ac:dyDescent="0.4">
      <c r="F4679" s="1"/>
    </row>
    <row r="4681" spans="6:9" x14ac:dyDescent="0.4">
      <c r="F4681" s="1"/>
    </row>
    <row r="4684" spans="6:9" x14ac:dyDescent="0.4">
      <c r="F4684" s="1"/>
    </row>
    <row r="4686" spans="6:9" x14ac:dyDescent="0.4">
      <c r="I4686" s="1"/>
    </row>
    <row r="4695" spans="9:9" x14ac:dyDescent="0.4">
      <c r="I4695" s="1"/>
    </row>
    <row r="4697" spans="9:9" x14ac:dyDescent="0.4">
      <c r="I4697" s="1"/>
    </row>
    <row r="4706" spans="6:9" x14ac:dyDescent="0.4">
      <c r="F4706" s="1"/>
      <c r="I4706" s="1"/>
    </row>
    <row r="4708" spans="6:9" x14ac:dyDescent="0.4">
      <c r="F4708" s="1"/>
    </row>
    <row r="4709" spans="6:9" x14ac:dyDescent="0.4">
      <c r="I4709" s="1"/>
    </row>
    <row r="4711" spans="6:9" x14ac:dyDescent="0.4">
      <c r="F4711" s="1"/>
      <c r="I4711" s="1"/>
    </row>
    <row r="4716" spans="6:9" x14ac:dyDescent="0.4">
      <c r="I4716" s="1"/>
    </row>
    <row r="4722" spans="6:9" x14ac:dyDescent="0.4">
      <c r="I4722" s="1"/>
    </row>
    <row r="4723" spans="6:9" x14ac:dyDescent="0.4">
      <c r="F4723" s="1"/>
    </row>
    <row r="4724" spans="6:9" x14ac:dyDescent="0.4">
      <c r="F4724" s="1"/>
    </row>
    <row r="4725" spans="6:9" x14ac:dyDescent="0.4">
      <c r="F4725" s="1"/>
    </row>
    <row r="4727" spans="6:9" x14ac:dyDescent="0.4">
      <c r="F4727" s="1"/>
      <c r="I4727" s="1"/>
    </row>
    <row r="4740" spans="9:9" x14ac:dyDescent="0.4">
      <c r="I4740" s="1"/>
    </row>
    <row r="4742" spans="9:9" x14ac:dyDescent="0.4">
      <c r="I4742" s="1"/>
    </row>
    <row r="4745" spans="9:9" x14ac:dyDescent="0.4">
      <c r="I4745" s="1"/>
    </row>
    <row r="4746" spans="9:9" x14ac:dyDescent="0.4">
      <c r="I4746" s="1"/>
    </row>
    <row r="4750" spans="9:9" x14ac:dyDescent="0.4">
      <c r="I4750" s="1"/>
    </row>
    <row r="4755" spans="9:9" x14ac:dyDescent="0.4">
      <c r="I4755" s="1"/>
    </row>
    <row r="4759" spans="9:9" x14ac:dyDescent="0.4">
      <c r="I4759" s="1"/>
    </row>
    <row r="4764" spans="9:9" x14ac:dyDescent="0.4">
      <c r="I4764" s="1"/>
    </row>
    <row r="4778" spans="9:9" x14ac:dyDescent="0.4">
      <c r="I4778" s="1"/>
    </row>
    <row r="4781" spans="9:9" x14ac:dyDescent="0.4">
      <c r="I4781" s="1"/>
    </row>
    <row r="4783" spans="9:9" x14ac:dyDescent="0.4">
      <c r="I4783" s="1"/>
    </row>
    <row r="4786" spans="9:9" x14ac:dyDescent="0.4">
      <c r="I4786" s="1"/>
    </row>
    <row r="4787" spans="9:9" x14ac:dyDescent="0.4">
      <c r="I4787" s="1"/>
    </row>
    <row r="4789" spans="9:9" x14ac:dyDescent="0.4">
      <c r="I4789" s="1"/>
    </row>
    <row r="4800" spans="9:9" x14ac:dyDescent="0.4">
      <c r="I4800" s="1"/>
    </row>
    <row r="4801" spans="9:9" x14ac:dyDescent="0.4">
      <c r="I4801" s="1"/>
    </row>
    <row r="4806" spans="9:9" x14ac:dyDescent="0.4">
      <c r="I4806" s="1"/>
    </row>
    <row r="4807" spans="9:9" x14ac:dyDescent="0.4">
      <c r="I4807" s="1"/>
    </row>
    <row r="4808" spans="9:9" x14ac:dyDescent="0.4">
      <c r="I4808" s="1"/>
    </row>
    <row r="4809" spans="9:9" x14ac:dyDescent="0.4">
      <c r="I4809" s="1"/>
    </row>
    <row r="4814" spans="9:9" x14ac:dyDescent="0.4">
      <c r="I4814" s="1"/>
    </row>
    <row r="4818" spans="9:9" x14ac:dyDescent="0.4">
      <c r="I4818" s="1"/>
    </row>
    <row r="4825" spans="9:9" x14ac:dyDescent="0.4">
      <c r="I4825" s="1"/>
    </row>
    <row r="4834" spans="9:9" x14ac:dyDescent="0.4">
      <c r="I4834" s="1"/>
    </row>
    <row r="4843" spans="9:9" x14ac:dyDescent="0.4">
      <c r="I4843" s="1"/>
    </row>
    <row r="4844" spans="9:9" x14ac:dyDescent="0.4">
      <c r="I4844" s="1"/>
    </row>
    <row r="4845" spans="9:9" x14ac:dyDescent="0.4">
      <c r="I4845" s="1"/>
    </row>
    <row r="4847" spans="9:9" x14ac:dyDescent="0.4">
      <c r="I4847" s="1"/>
    </row>
    <row r="4848" spans="9:9" x14ac:dyDescent="0.4">
      <c r="I4848" s="1"/>
    </row>
    <row r="4849" spans="9:9" x14ac:dyDescent="0.4">
      <c r="I4849" s="1"/>
    </row>
    <row r="4854" spans="9:9" x14ac:dyDescent="0.4">
      <c r="I4854" s="1"/>
    </row>
    <row r="4857" spans="9:9" x14ac:dyDescent="0.4">
      <c r="I4857" s="1"/>
    </row>
    <row r="4860" spans="9:9" x14ac:dyDescent="0.4">
      <c r="I4860" s="1"/>
    </row>
    <row r="4873" spans="9:9" x14ac:dyDescent="0.4">
      <c r="I4873" s="1"/>
    </row>
    <row r="4884" spans="9:9" x14ac:dyDescent="0.4">
      <c r="I4884" s="1"/>
    </row>
    <row r="4885" spans="9:9" x14ac:dyDescent="0.4">
      <c r="I4885" s="1"/>
    </row>
    <row r="4889" spans="9:9" x14ac:dyDescent="0.4">
      <c r="I4889" s="1"/>
    </row>
    <row r="4892" spans="9:9" x14ac:dyDescent="0.4">
      <c r="I4892" s="1"/>
    </row>
    <row r="4901" spans="9:9" x14ac:dyDescent="0.4">
      <c r="I4901" s="1"/>
    </row>
    <row r="4902" spans="9:9" x14ac:dyDescent="0.4">
      <c r="I4902" s="1"/>
    </row>
    <row r="4915" spans="9:9" x14ac:dyDescent="0.4">
      <c r="I4915" s="1"/>
    </row>
    <row r="4924" spans="9:9" x14ac:dyDescent="0.4">
      <c r="I4924" s="1"/>
    </row>
    <row r="4975" spans="9:9" x14ac:dyDescent="0.4">
      <c r="I4975" s="1"/>
    </row>
    <row r="4978" spans="9:9" x14ac:dyDescent="0.4">
      <c r="I4978" s="1"/>
    </row>
    <row r="4990" spans="9:9" x14ac:dyDescent="0.4">
      <c r="I4990" s="1"/>
    </row>
    <row r="4991" spans="9:9" x14ac:dyDescent="0.4">
      <c r="I4991" s="1"/>
    </row>
    <row r="4997" spans="9:9" x14ac:dyDescent="0.4">
      <c r="I4997" s="1"/>
    </row>
    <row r="4999" spans="9:9" x14ac:dyDescent="0.4">
      <c r="I4999" s="1"/>
    </row>
    <row r="5003" spans="9:9" x14ac:dyDescent="0.4">
      <c r="I5003" s="1"/>
    </row>
    <row r="5006" spans="9:9" x14ac:dyDescent="0.4">
      <c r="I5006" s="1"/>
    </row>
    <row r="5010" spans="9:9" x14ac:dyDescent="0.4">
      <c r="I5010" s="1"/>
    </row>
    <row r="5011" spans="9:9" x14ac:dyDescent="0.4">
      <c r="I5011" s="1"/>
    </row>
    <row r="5015" spans="9:9" x14ac:dyDescent="0.4">
      <c r="I5015" s="1"/>
    </row>
    <row r="5018" spans="9:9" x14ac:dyDescent="0.4">
      <c r="I5018" s="1"/>
    </row>
    <row r="5020" spans="9:9" x14ac:dyDescent="0.4">
      <c r="I5020" s="1"/>
    </row>
    <row r="5021" spans="9:9" x14ac:dyDescent="0.4">
      <c r="I5021" s="1"/>
    </row>
    <row r="5022" spans="9:9" x14ac:dyDescent="0.4">
      <c r="I5022" s="1"/>
    </row>
    <row r="5023" spans="9:9" x14ac:dyDescent="0.4">
      <c r="I5023" s="1"/>
    </row>
    <row r="5026" spans="9:9" x14ac:dyDescent="0.4">
      <c r="I5026" s="1"/>
    </row>
    <row r="5032" spans="9:9" x14ac:dyDescent="0.4">
      <c r="I5032" s="1"/>
    </row>
    <row r="5040" spans="9:9" x14ac:dyDescent="0.4">
      <c r="I5040" s="1"/>
    </row>
    <row r="5047" spans="9:9" x14ac:dyDescent="0.4">
      <c r="I5047" s="1"/>
    </row>
    <row r="5058" spans="9:9" x14ac:dyDescent="0.4">
      <c r="I5058" s="1"/>
    </row>
    <row r="5061" spans="9:9" x14ac:dyDescent="0.4">
      <c r="I5061" s="1"/>
    </row>
    <row r="5065" spans="9:9" x14ac:dyDescent="0.4">
      <c r="I5065" s="1"/>
    </row>
    <row r="5069" spans="9:9" x14ac:dyDescent="0.4">
      <c r="I5069" s="1"/>
    </row>
    <row r="5079" spans="9:9" x14ac:dyDescent="0.4">
      <c r="I5079" s="1"/>
    </row>
    <row r="5087" spans="9:9" x14ac:dyDescent="0.4">
      <c r="I5087" s="1"/>
    </row>
    <row r="5095" spans="9:9" x14ac:dyDescent="0.4">
      <c r="I5095" s="1"/>
    </row>
    <row r="5096" spans="9:9" x14ac:dyDescent="0.4">
      <c r="I5096" s="1"/>
    </row>
    <row r="5100" spans="9:9" x14ac:dyDescent="0.4">
      <c r="I5100" s="1"/>
    </row>
    <row r="5102" spans="9:9" x14ac:dyDescent="0.4">
      <c r="I5102" s="1"/>
    </row>
    <row r="5119" spans="9:9" x14ac:dyDescent="0.4">
      <c r="I5119" s="1"/>
    </row>
    <row r="5132" spans="9:9" x14ac:dyDescent="0.4">
      <c r="I5132" s="1"/>
    </row>
    <row r="5135" spans="9:9" x14ac:dyDescent="0.4">
      <c r="I5135" s="1"/>
    </row>
    <row r="5138" spans="9:9" x14ac:dyDescent="0.4">
      <c r="I5138" s="1"/>
    </row>
    <row r="5139" spans="9:9" x14ac:dyDescent="0.4">
      <c r="I5139" s="1"/>
    </row>
    <row r="5147" spans="9:9" x14ac:dyDescent="0.4">
      <c r="I5147" s="1"/>
    </row>
    <row r="5149" spans="9:9" x14ac:dyDescent="0.4">
      <c r="I5149" s="1"/>
    </row>
    <row r="5151" spans="9:9" x14ac:dyDescent="0.4">
      <c r="I5151" s="1"/>
    </row>
    <row r="5152" spans="9:9" x14ac:dyDescent="0.4">
      <c r="I5152" s="1"/>
    </row>
    <row r="5157" spans="9:9" x14ac:dyDescent="0.4">
      <c r="I5157" s="1"/>
    </row>
    <row r="5163" spans="9:9" x14ac:dyDescent="0.4">
      <c r="I5163" s="1"/>
    </row>
    <row r="5164" spans="9:9" x14ac:dyDescent="0.4">
      <c r="I5164" s="1"/>
    </row>
    <row r="5167" spans="9:9" x14ac:dyDescent="0.4">
      <c r="I5167" s="1"/>
    </row>
    <row r="5169" spans="9:9" x14ac:dyDescent="0.4">
      <c r="I5169" s="1"/>
    </row>
    <row r="5170" spans="9:9" x14ac:dyDescent="0.4">
      <c r="I5170" s="1"/>
    </row>
    <row r="5175" spans="9:9" x14ac:dyDescent="0.4">
      <c r="I5175" s="1"/>
    </row>
    <row r="5178" spans="9:9" x14ac:dyDescent="0.4">
      <c r="I5178" s="1"/>
    </row>
    <row r="5179" spans="9:9" x14ac:dyDescent="0.4">
      <c r="I5179" s="1"/>
    </row>
    <row r="5190" spans="9:9" x14ac:dyDescent="0.4">
      <c r="I5190" s="1"/>
    </row>
    <row r="5193" spans="9:9" x14ac:dyDescent="0.4">
      <c r="I5193" s="1"/>
    </row>
    <row r="5200" spans="9:9" x14ac:dyDescent="0.4">
      <c r="I5200" s="1"/>
    </row>
    <row r="5205" spans="9:9" x14ac:dyDescent="0.4">
      <c r="I5205" s="1"/>
    </row>
    <row r="5210" spans="9:9" x14ac:dyDescent="0.4">
      <c r="I5210" s="1"/>
    </row>
    <row r="5215" spans="9:9" x14ac:dyDescent="0.4">
      <c r="I5215" s="1"/>
    </row>
    <row r="5217" spans="9:9" x14ac:dyDescent="0.4">
      <c r="I5217" s="1"/>
    </row>
    <row r="5219" spans="9:9" x14ac:dyDescent="0.4">
      <c r="I5219" s="1"/>
    </row>
    <row r="5224" spans="9:9" x14ac:dyDescent="0.4">
      <c r="I5224" s="1"/>
    </row>
    <row r="5227" spans="9:9" x14ac:dyDescent="0.4">
      <c r="I5227" s="1"/>
    </row>
    <row r="5228" spans="9:9" x14ac:dyDescent="0.4">
      <c r="I5228" s="1"/>
    </row>
    <row r="5231" spans="9:9" x14ac:dyDescent="0.4">
      <c r="I5231" s="1"/>
    </row>
    <row r="5233" spans="9:9" x14ac:dyDescent="0.4">
      <c r="I5233" s="1"/>
    </row>
    <row r="5235" spans="9:9" x14ac:dyDescent="0.4">
      <c r="I5235" s="1"/>
    </row>
    <row r="5239" spans="9:9" x14ac:dyDescent="0.4">
      <c r="I5239" s="1"/>
    </row>
    <row r="5240" spans="9:9" x14ac:dyDescent="0.4">
      <c r="I5240" s="1"/>
    </row>
    <row r="5241" spans="9:9" x14ac:dyDescent="0.4">
      <c r="I5241" s="1"/>
    </row>
    <row r="5243" spans="9:9" x14ac:dyDescent="0.4">
      <c r="I5243" s="1"/>
    </row>
    <row r="5246" spans="9:9" x14ac:dyDescent="0.4">
      <c r="I5246" s="1"/>
    </row>
    <row r="5247" spans="9:9" x14ac:dyDescent="0.4">
      <c r="I5247" s="1"/>
    </row>
    <row r="5248" spans="9:9" x14ac:dyDescent="0.4">
      <c r="I5248" s="1"/>
    </row>
    <row r="5252" spans="9:9" x14ac:dyDescent="0.4">
      <c r="I5252" s="1"/>
    </row>
    <row r="5253" spans="9:9" x14ac:dyDescent="0.4">
      <c r="I5253" s="1"/>
    </row>
    <row r="5257" spans="9:9" x14ac:dyDescent="0.4">
      <c r="I5257" s="1"/>
    </row>
    <row r="5260" spans="9:9" x14ac:dyDescent="0.4">
      <c r="I5260" s="1"/>
    </row>
    <row r="5262" spans="9:9" x14ac:dyDescent="0.4">
      <c r="I5262" s="1"/>
    </row>
    <row r="5264" spans="9:9" x14ac:dyDescent="0.4">
      <c r="I5264" s="1"/>
    </row>
    <row r="5271" spans="9:9" x14ac:dyDescent="0.4">
      <c r="I5271" s="1"/>
    </row>
    <row r="5275" spans="9:9" x14ac:dyDescent="0.4">
      <c r="I5275" s="1"/>
    </row>
    <row r="5277" spans="9:9" x14ac:dyDescent="0.4">
      <c r="I5277" s="1"/>
    </row>
    <row r="5283" spans="9:9" x14ac:dyDescent="0.4">
      <c r="I5283" s="1"/>
    </row>
    <row r="5287" spans="9:9" x14ac:dyDescent="0.4">
      <c r="I5287" s="1"/>
    </row>
    <row r="5292" spans="9:9" x14ac:dyDescent="0.4">
      <c r="I5292" s="1"/>
    </row>
    <row r="5293" spans="9:9" x14ac:dyDescent="0.4">
      <c r="I5293" s="1"/>
    </row>
    <row r="5294" spans="9:9" x14ac:dyDescent="0.4">
      <c r="I5294" s="1"/>
    </row>
    <row r="5298" spans="9:9" x14ac:dyDescent="0.4">
      <c r="I5298" s="1"/>
    </row>
    <row r="5299" spans="9:9" x14ac:dyDescent="0.4">
      <c r="I5299" s="1"/>
    </row>
    <row r="5300" spans="9:9" x14ac:dyDescent="0.4">
      <c r="I5300" s="1"/>
    </row>
    <row r="5305" spans="9:9" x14ac:dyDescent="0.4">
      <c r="I5305" s="1"/>
    </row>
    <row r="5311" spans="9:9" x14ac:dyDescent="0.4">
      <c r="I5311" s="1"/>
    </row>
    <row r="5312" spans="9:9" x14ac:dyDescent="0.4">
      <c r="I5312" s="1"/>
    </row>
    <row r="5317" spans="9:9" x14ac:dyDescent="0.4">
      <c r="I5317" s="1"/>
    </row>
    <row r="5322" spans="9:9" x14ac:dyDescent="0.4">
      <c r="I5322" s="1"/>
    </row>
    <row r="5324" spans="9:9" x14ac:dyDescent="0.4">
      <c r="I5324" s="1"/>
    </row>
    <row r="5325" spans="9:9" x14ac:dyDescent="0.4">
      <c r="I5325" s="1"/>
    </row>
    <row r="5330" spans="9:9" x14ac:dyDescent="0.4">
      <c r="I5330" s="1"/>
    </row>
    <row r="5333" spans="9:9" x14ac:dyDescent="0.4">
      <c r="I5333" s="1"/>
    </row>
    <row r="5339" spans="9:9" x14ac:dyDescent="0.4">
      <c r="I5339" s="1"/>
    </row>
    <row r="5345" spans="9:9" x14ac:dyDescent="0.4">
      <c r="I5345" s="1"/>
    </row>
    <row r="5347" spans="9:9" x14ac:dyDescent="0.4">
      <c r="I5347" s="1"/>
    </row>
    <row r="5353" spans="9:9" x14ac:dyDescent="0.4">
      <c r="I5353" s="1"/>
    </row>
    <row r="5363" spans="9:9" x14ac:dyDescent="0.4">
      <c r="I5363" s="1"/>
    </row>
    <row r="5367" spans="9:9" x14ac:dyDescent="0.4">
      <c r="I5367" s="1"/>
    </row>
    <row r="5369" spans="9:9" x14ac:dyDescent="0.4">
      <c r="I5369" s="1"/>
    </row>
    <row r="5370" spans="9:9" x14ac:dyDescent="0.4">
      <c r="I5370" s="1"/>
    </row>
    <row r="5371" spans="9:9" x14ac:dyDescent="0.4">
      <c r="I5371" s="1"/>
    </row>
    <row r="5373" spans="9:9" x14ac:dyDescent="0.4">
      <c r="I5373" s="1"/>
    </row>
    <row r="5379" spans="6:9" x14ac:dyDescent="0.4">
      <c r="I5379" s="1"/>
    </row>
    <row r="5384" spans="6:9" x14ac:dyDescent="0.4">
      <c r="I5384" s="1"/>
    </row>
    <row r="5385" spans="6:9" x14ac:dyDescent="0.4">
      <c r="I5385" s="1"/>
    </row>
    <row r="5392" spans="6:9" x14ac:dyDescent="0.4">
      <c r="F5392" s="1"/>
    </row>
    <row r="5393" spans="9:9" x14ac:dyDescent="0.4">
      <c r="I5393" s="1"/>
    </row>
    <row r="5394" spans="9:9" x14ac:dyDescent="0.4">
      <c r="I5394" s="1"/>
    </row>
    <row r="5395" spans="9:9" x14ac:dyDescent="0.4">
      <c r="I5395" s="1"/>
    </row>
    <row r="5397" spans="9:9" x14ac:dyDescent="0.4">
      <c r="I5397" s="1"/>
    </row>
    <row r="5401" spans="9:9" x14ac:dyDescent="0.4">
      <c r="I5401" s="1"/>
    </row>
    <row r="5406" spans="9:9" x14ac:dyDescent="0.4">
      <c r="I5406" s="1"/>
    </row>
    <row r="5410" spans="9:9" x14ac:dyDescent="0.4">
      <c r="I5410" s="1"/>
    </row>
    <row r="5412" spans="9:9" x14ac:dyDescent="0.4">
      <c r="I5412" s="1"/>
    </row>
    <row r="5414" spans="9:9" x14ac:dyDescent="0.4">
      <c r="I5414" s="1"/>
    </row>
    <row r="5415" spans="9:9" x14ac:dyDescent="0.4">
      <c r="I5415" s="1"/>
    </row>
    <row r="5416" spans="9:9" x14ac:dyDescent="0.4">
      <c r="I5416" s="1"/>
    </row>
    <row r="5418" spans="9:9" x14ac:dyDescent="0.4">
      <c r="I5418" s="1"/>
    </row>
    <row r="5420" spans="9:9" x14ac:dyDescent="0.4">
      <c r="I5420" s="1"/>
    </row>
    <row r="5421" spans="9:9" x14ac:dyDescent="0.4">
      <c r="I5421" s="1"/>
    </row>
    <row r="5424" spans="9:9" x14ac:dyDescent="0.4">
      <c r="I5424" s="1"/>
    </row>
    <row r="5427" spans="6:9" x14ac:dyDescent="0.4">
      <c r="I5427" s="1"/>
    </row>
    <row r="5429" spans="6:9" x14ac:dyDescent="0.4">
      <c r="I5429" s="1"/>
    </row>
    <row r="5433" spans="6:9" x14ac:dyDescent="0.4">
      <c r="F5433" s="1"/>
    </row>
    <row r="5434" spans="6:9" x14ac:dyDescent="0.4">
      <c r="I5434" s="1"/>
    </row>
    <row r="5440" spans="6:9" x14ac:dyDescent="0.4">
      <c r="I5440" s="1"/>
    </row>
    <row r="5442" spans="9:9" x14ac:dyDescent="0.4">
      <c r="I5442" s="1"/>
    </row>
    <row r="5457" spans="6:9" x14ac:dyDescent="0.4">
      <c r="I5457" s="1"/>
    </row>
    <row r="5463" spans="6:9" x14ac:dyDescent="0.4">
      <c r="F5463" s="1"/>
      <c r="I5463" s="1"/>
    </row>
    <row r="5464" spans="6:9" x14ac:dyDescent="0.4">
      <c r="I5464" s="1"/>
    </row>
    <row r="5465" spans="6:9" x14ac:dyDescent="0.4">
      <c r="F5465" s="1"/>
    </row>
    <row r="5467" spans="6:9" x14ac:dyDescent="0.4">
      <c r="I5467" s="1"/>
    </row>
    <row r="5469" spans="6:9" x14ac:dyDescent="0.4">
      <c r="I5469" s="1"/>
    </row>
    <row r="5470" spans="6:9" x14ac:dyDescent="0.4">
      <c r="F5470" s="1"/>
    </row>
    <row r="5471" spans="6:9" x14ac:dyDescent="0.4">
      <c r="I5471" s="1"/>
    </row>
    <row r="5472" spans="6:9" x14ac:dyDescent="0.4">
      <c r="F5472" s="1"/>
      <c r="I5472" s="1"/>
    </row>
    <row r="5474" spans="6:9" x14ac:dyDescent="0.4">
      <c r="I5474" s="1"/>
    </row>
    <row r="5476" spans="6:9" x14ac:dyDescent="0.4">
      <c r="I5476" s="1"/>
    </row>
    <row r="5480" spans="6:9" x14ac:dyDescent="0.4">
      <c r="F5480" s="1"/>
    </row>
    <row r="5487" spans="6:9" x14ac:dyDescent="0.4">
      <c r="F5487" s="1"/>
    </row>
    <row r="5488" spans="6:9" x14ac:dyDescent="0.4">
      <c r="F5488" s="1"/>
    </row>
    <row r="5490" spans="6:9" x14ac:dyDescent="0.4">
      <c r="F5490" s="1"/>
    </row>
    <row r="5491" spans="6:9" x14ac:dyDescent="0.4">
      <c r="I5491" s="1"/>
    </row>
    <row r="5493" spans="6:9" x14ac:dyDescent="0.4">
      <c r="F5493" s="1"/>
    </row>
    <row r="5500" spans="6:9" x14ac:dyDescent="0.4">
      <c r="F5500" s="1"/>
    </row>
    <row r="5501" spans="6:9" x14ac:dyDescent="0.4">
      <c r="I5501" s="1"/>
    </row>
    <row r="5507" spans="6:9" x14ac:dyDescent="0.4">
      <c r="F5507" s="1"/>
    </row>
    <row r="5508" spans="6:9" x14ac:dyDescent="0.4">
      <c r="I5508" s="1"/>
    </row>
    <row r="5510" spans="6:9" x14ac:dyDescent="0.4">
      <c r="I5510" s="1"/>
    </row>
    <row r="5513" spans="6:9" x14ac:dyDescent="0.4">
      <c r="I5513" s="1"/>
    </row>
    <row r="5527" spans="9:9" x14ac:dyDescent="0.4">
      <c r="I5527" s="1"/>
    </row>
    <row r="5536" spans="9:9" x14ac:dyDescent="0.4">
      <c r="I5536" s="1"/>
    </row>
    <row r="5537" spans="9:9" x14ac:dyDescent="0.4">
      <c r="I5537" s="1"/>
    </row>
    <row r="5543" spans="9:9" x14ac:dyDescent="0.4">
      <c r="I5543" s="1"/>
    </row>
    <row r="5544" spans="9:9" x14ac:dyDescent="0.4">
      <c r="I5544" s="1"/>
    </row>
    <row r="5547" spans="9:9" x14ac:dyDescent="0.4">
      <c r="I5547" s="1"/>
    </row>
    <row r="5553" spans="6:9" x14ac:dyDescent="0.4">
      <c r="I5553" s="1"/>
    </row>
    <row r="5554" spans="6:9" x14ac:dyDescent="0.4">
      <c r="F5554" s="1"/>
    </row>
    <row r="5556" spans="6:9" x14ac:dyDescent="0.4">
      <c r="F5556" s="1"/>
    </row>
    <row r="5557" spans="6:9" x14ac:dyDescent="0.4">
      <c r="I5557" s="1"/>
    </row>
    <row r="5560" spans="6:9" x14ac:dyDescent="0.4">
      <c r="I5560" s="1"/>
    </row>
    <row r="5563" spans="6:9" x14ac:dyDescent="0.4">
      <c r="F5563" s="1"/>
    </row>
    <row r="5564" spans="6:9" x14ac:dyDescent="0.4">
      <c r="I5564" s="1"/>
    </row>
    <row r="5565" spans="6:9" x14ac:dyDescent="0.4">
      <c r="I5565" s="1"/>
    </row>
    <row r="5568" spans="6:9" x14ac:dyDescent="0.4">
      <c r="I5568" s="1"/>
    </row>
    <row r="5576" spans="9:9" x14ac:dyDescent="0.4">
      <c r="I5576" s="1"/>
    </row>
    <row r="5580" spans="9:9" x14ac:dyDescent="0.4">
      <c r="I5580" s="1"/>
    </row>
    <row r="5584" spans="9:9" x14ac:dyDescent="0.4">
      <c r="I5584" s="1"/>
    </row>
    <row r="5586" spans="6:9" x14ac:dyDescent="0.4">
      <c r="I5586" s="1"/>
    </row>
    <row r="5589" spans="6:9" x14ac:dyDescent="0.4">
      <c r="I5589" s="1"/>
    </row>
    <row r="5590" spans="6:9" x14ac:dyDescent="0.4">
      <c r="I5590" s="1"/>
    </row>
    <row r="5591" spans="6:9" x14ac:dyDescent="0.4">
      <c r="F5591" s="1"/>
      <c r="I5591" s="1"/>
    </row>
    <row r="5594" spans="6:9" x14ac:dyDescent="0.4">
      <c r="I5594" s="1"/>
    </row>
    <row r="5595" spans="6:9" x14ac:dyDescent="0.4">
      <c r="I5595" s="1"/>
    </row>
    <row r="5597" spans="6:9" x14ac:dyDescent="0.4">
      <c r="F5597" s="1"/>
    </row>
    <row r="5598" spans="6:9" x14ac:dyDescent="0.4">
      <c r="I5598" s="1"/>
    </row>
    <row r="5599" spans="6:9" x14ac:dyDescent="0.4">
      <c r="F5599" s="1"/>
      <c r="I5599" s="1"/>
    </row>
    <row r="5600" spans="6:9" x14ac:dyDescent="0.4">
      <c r="I5600" s="1"/>
    </row>
    <row r="5601" spans="6:9" x14ac:dyDescent="0.4">
      <c r="F5601" s="1"/>
    </row>
    <row r="5602" spans="6:9" x14ac:dyDescent="0.4">
      <c r="I5602" s="1"/>
    </row>
    <row r="5610" spans="6:9" x14ac:dyDescent="0.4">
      <c r="I5610" s="1"/>
    </row>
    <row r="5612" spans="6:9" x14ac:dyDescent="0.4">
      <c r="F5612" s="1"/>
    </row>
    <row r="5613" spans="6:9" x14ac:dyDescent="0.4">
      <c r="F5613" s="1"/>
    </row>
    <row r="5617" spans="6:9" x14ac:dyDescent="0.4">
      <c r="I5617" s="1"/>
    </row>
    <row r="5618" spans="6:9" x14ac:dyDescent="0.4">
      <c r="F5618" s="1"/>
    </row>
    <row r="5619" spans="6:9" x14ac:dyDescent="0.4">
      <c r="I5619" s="1"/>
    </row>
    <row r="5621" spans="6:9" x14ac:dyDescent="0.4">
      <c r="I5621" s="1"/>
    </row>
    <row r="5624" spans="6:9" x14ac:dyDescent="0.4">
      <c r="I5624" s="1"/>
    </row>
    <row r="5625" spans="6:9" x14ac:dyDescent="0.4">
      <c r="F5625" s="1"/>
    </row>
    <row r="5629" spans="6:9" x14ac:dyDescent="0.4">
      <c r="I5629" s="1"/>
    </row>
    <row r="5633" spans="6:9" x14ac:dyDescent="0.4">
      <c r="F5633" s="1"/>
      <c r="I5633" s="1"/>
    </row>
    <row r="5635" spans="6:9" x14ac:dyDescent="0.4">
      <c r="I5635" s="1"/>
    </row>
    <row r="5636" spans="6:9" x14ac:dyDescent="0.4">
      <c r="I5636" s="1"/>
    </row>
    <row r="5638" spans="6:9" x14ac:dyDescent="0.4">
      <c r="I5638" s="1"/>
    </row>
    <row r="5642" spans="6:9" x14ac:dyDescent="0.4">
      <c r="I5642" s="1"/>
    </row>
    <row r="5647" spans="6:9" x14ac:dyDescent="0.4">
      <c r="I5647" s="1"/>
    </row>
    <row r="5652" spans="9:9" x14ac:dyDescent="0.4">
      <c r="I5652" s="1"/>
    </row>
    <row r="5653" spans="9:9" x14ac:dyDescent="0.4">
      <c r="I5653" s="1"/>
    </row>
    <row r="5659" spans="9:9" x14ac:dyDescent="0.4">
      <c r="I5659" s="1"/>
    </row>
    <row r="5661" spans="9:9" x14ac:dyDescent="0.4">
      <c r="I5661" s="1"/>
    </row>
    <row r="5668" spans="6:9" x14ac:dyDescent="0.4">
      <c r="F5668" s="1"/>
      <c r="I5668" s="1"/>
    </row>
    <row r="5673" spans="6:9" x14ac:dyDescent="0.4">
      <c r="I5673" s="1"/>
    </row>
    <row r="5677" spans="6:9" x14ac:dyDescent="0.4">
      <c r="I5677" s="1"/>
    </row>
    <row r="5684" spans="9:9" x14ac:dyDescent="0.4">
      <c r="I5684" s="1"/>
    </row>
    <row r="5688" spans="9:9" x14ac:dyDescent="0.4">
      <c r="I5688" s="1"/>
    </row>
    <row r="5689" spans="9:9" x14ac:dyDescent="0.4">
      <c r="I5689" s="1"/>
    </row>
    <row r="5690" spans="9:9" x14ac:dyDescent="0.4">
      <c r="I5690" s="1"/>
    </row>
    <row r="5696" spans="9:9" x14ac:dyDescent="0.4">
      <c r="I5696" s="1"/>
    </row>
    <row r="5697" spans="9:9" x14ac:dyDescent="0.4">
      <c r="I5697" s="1"/>
    </row>
    <row r="5699" spans="9:9" x14ac:dyDescent="0.4">
      <c r="I5699" s="1"/>
    </row>
    <row r="5700" spans="9:9" x14ac:dyDescent="0.4">
      <c r="I5700" s="1"/>
    </row>
    <row r="5718" spans="9:9" x14ac:dyDescent="0.4">
      <c r="I5718" s="1"/>
    </row>
    <row r="5720" spans="9:9" x14ac:dyDescent="0.4">
      <c r="I5720" s="1"/>
    </row>
    <row r="5722" spans="9:9" x14ac:dyDescent="0.4">
      <c r="I5722" s="1"/>
    </row>
    <row r="5733" spans="6:9" x14ac:dyDescent="0.4">
      <c r="I5733" s="1"/>
    </row>
    <row r="5734" spans="6:9" x14ac:dyDescent="0.4">
      <c r="F5734" s="1"/>
    </row>
    <row r="5737" spans="6:9" x14ac:dyDescent="0.4">
      <c r="I5737" s="1"/>
    </row>
    <row r="5738" spans="6:9" x14ac:dyDescent="0.4">
      <c r="I5738" s="1"/>
    </row>
    <row r="5740" spans="6:9" x14ac:dyDescent="0.4">
      <c r="I5740" s="1"/>
    </row>
    <row r="5742" spans="6:9" x14ac:dyDescent="0.4">
      <c r="I5742" s="1"/>
    </row>
    <row r="5744" spans="6:9" x14ac:dyDescent="0.4">
      <c r="I5744" s="1"/>
    </row>
    <row r="5751" spans="9:9" x14ac:dyDescent="0.4">
      <c r="I5751" s="1"/>
    </row>
    <row r="5758" spans="9:9" x14ac:dyDescent="0.4">
      <c r="I5758" s="1"/>
    </row>
    <row r="5761" spans="9:9" x14ac:dyDescent="0.4">
      <c r="I5761" s="1"/>
    </row>
    <row r="5764" spans="9:9" x14ac:dyDescent="0.4">
      <c r="I5764" s="1"/>
    </row>
    <row r="5769" spans="9:9" x14ac:dyDescent="0.4">
      <c r="I5769" s="1"/>
    </row>
    <row r="5773" spans="9:9" x14ac:dyDescent="0.4">
      <c r="I5773" s="1"/>
    </row>
    <row r="5791" spans="9:9" x14ac:dyDescent="0.4">
      <c r="I5791" s="1"/>
    </row>
    <row r="5792" spans="9:9" x14ac:dyDescent="0.4">
      <c r="I5792" s="1"/>
    </row>
    <row r="5796" spans="9:9" x14ac:dyDescent="0.4">
      <c r="I5796" s="1"/>
    </row>
    <row r="5801" spans="9:9" x14ac:dyDescent="0.4">
      <c r="I5801" s="1"/>
    </row>
    <row r="5803" spans="9:9" x14ac:dyDescent="0.4">
      <c r="I5803" s="1"/>
    </row>
    <row r="5807" spans="9:9" x14ac:dyDescent="0.4">
      <c r="I5807" s="1"/>
    </row>
    <row r="5808" spans="9:9" x14ac:dyDescent="0.4">
      <c r="I5808" s="1"/>
    </row>
    <row r="5813" spans="9:9" x14ac:dyDescent="0.4">
      <c r="I5813" s="1"/>
    </row>
    <row r="5814" spans="9:9" x14ac:dyDescent="0.4">
      <c r="I5814" s="1"/>
    </row>
    <row r="5815" spans="9:9" x14ac:dyDescent="0.4">
      <c r="I5815" s="1"/>
    </row>
    <row r="5818" spans="9:9" x14ac:dyDescent="0.4">
      <c r="I5818" s="1"/>
    </row>
    <row r="5819" spans="9:9" x14ac:dyDescent="0.4">
      <c r="I5819" s="1"/>
    </row>
    <row r="5820" spans="9:9" x14ac:dyDescent="0.4">
      <c r="I5820" s="1"/>
    </row>
    <row r="5823" spans="9:9" x14ac:dyDescent="0.4">
      <c r="I5823" s="1"/>
    </row>
    <row r="5825" spans="9:9" x14ac:dyDescent="0.4">
      <c r="I5825" s="1"/>
    </row>
    <row r="5826" spans="9:9" x14ac:dyDescent="0.4">
      <c r="I5826" s="1"/>
    </row>
    <row r="5833" spans="9:9" x14ac:dyDescent="0.4">
      <c r="I5833" s="1"/>
    </row>
    <row r="5834" spans="9:9" x14ac:dyDescent="0.4">
      <c r="I5834" s="1"/>
    </row>
    <row r="5842" spans="9:9" x14ac:dyDescent="0.4">
      <c r="I5842" s="1"/>
    </row>
    <row r="5848" spans="9:9" x14ac:dyDescent="0.4">
      <c r="I5848" s="1"/>
    </row>
    <row r="5854" spans="9:9" x14ac:dyDescent="0.4">
      <c r="I5854" s="1"/>
    </row>
    <row r="5859" spans="6:9" x14ac:dyDescent="0.4">
      <c r="I5859" s="1"/>
    </row>
    <row r="5861" spans="6:9" x14ac:dyDescent="0.4">
      <c r="I5861" s="1"/>
    </row>
    <row r="5863" spans="6:9" x14ac:dyDescent="0.4">
      <c r="F5863" s="1"/>
    </row>
    <row r="5864" spans="6:9" x14ac:dyDescent="0.4">
      <c r="I5864" s="1"/>
    </row>
    <row r="5866" spans="6:9" x14ac:dyDescent="0.4">
      <c r="I5866" s="1"/>
    </row>
    <row r="5872" spans="6:9" x14ac:dyDescent="0.4">
      <c r="F5872" s="1"/>
    </row>
    <row r="5873" spans="9:9" x14ac:dyDescent="0.4">
      <c r="I5873" s="1"/>
    </row>
    <row r="5880" spans="9:9" x14ac:dyDescent="0.4">
      <c r="I5880" s="1"/>
    </row>
    <row r="5882" spans="9:9" x14ac:dyDescent="0.4">
      <c r="I5882" s="1"/>
    </row>
    <row r="5884" spans="9:9" x14ac:dyDescent="0.4">
      <c r="I5884" s="1"/>
    </row>
    <row r="5885" spans="9:9" x14ac:dyDescent="0.4">
      <c r="I5885" s="1"/>
    </row>
    <row r="5886" spans="9:9" x14ac:dyDescent="0.4">
      <c r="I5886" s="1"/>
    </row>
    <row r="5890" spans="9:9" x14ac:dyDescent="0.4">
      <c r="I5890" s="1"/>
    </row>
    <row r="5911" spans="9:9" x14ac:dyDescent="0.4">
      <c r="I5911" s="1"/>
    </row>
    <row r="5912" spans="9:9" x14ac:dyDescent="0.4">
      <c r="I5912" s="1"/>
    </row>
    <row r="5915" spans="9:9" x14ac:dyDescent="0.4">
      <c r="I5915" s="1"/>
    </row>
    <row r="5918" spans="9:9" x14ac:dyDescent="0.4">
      <c r="I5918" s="1"/>
    </row>
    <row r="5925" spans="9:9" x14ac:dyDescent="0.4">
      <c r="I5925" s="1"/>
    </row>
    <row r="5930" spans="9:9" x14ac:dyDescent="0.4">
      <c r="I5930" s="1"/>
    </row>
    <row r="5933" spans="9:9" x14ac:dyDescent="0.4">
      <c r="I5933" s="1"/>
    </row>
    <row r="5935" spans="9:9" x14ac:dyDescent="0.4">
      <c r="I5935" s="1"/>
    </row>
    <row r="5941" spans="9:9" x14ac:dyDescent="0.4">
      <c r="I5941" s="1"/>
    </row>
    <row r="5945" spans="9:9" x14ac:dyDescent="0.4">
      <c r="I5945" s="1"/>
    </row>
    <row r="5947" spans="9:9" x14ac:dyDescent="0.4">
      <c r="I5947" s="1"/>
    </row>
    <row r="5952" spans="9:9" x14ac:dyDescent="0.4">
      <c r="I5952" s="1"/>
    </row>
    <row r="5961" spans="9:9" x14ac:dyDescent="0.4">
      <c r="I5961" s="1"/>
    </row>
    <row r="5965" spans="9:9" x14ac:dyDescent="0.4">
      <c r="I5965" s="1"/>
    </row>
    <row r="5968" spans="9:9" x14ac:dyDescent="0.4">
      <c r="I5968" s="1"/>
    </row>
    <row r="5972" spans="9:9" x14ac:dyDescent="0.4">
      <c r="I5972" s="1"/>
    </row>
    <row r="5976" spans="9:9" x14ac:dyDescent="0.4">
      <c r="I5976" s="1"/>
    </row>
    <row r="5980" spans="9:9" x14ac:dyDescent="0.4">
      <c r="I5980" s="1"/>
    </row>
    <row r="5982" spans="9:9" x14ac:dyDescent="0.4">
      <c r="I5982" s="1"/>
    </row>
    <row r="5984" spans="9:9" x14ac:dyDescent="0.4">
      <c r="I5984" s="1"/>
    </row>
    <row r="5988" spans="9:9" x14ac:dyDescent="0.4">
      <c r="I5988" s="1"/>
    </row>
    <row r="5989" spans="9:9" x14ac:dyDescent="0.4">
      <c r="I5989" s="1"/>
    </row>
    <row r="5991" spans="9:9" x14ac:dyDescent="0.4">
      <c r="I5991" s="1"/>
    </row>
    <row r="5992" spans="9:9" x14ac:dyDescent="0.4">
      <c r="I5992" s="1"/>
    </row>
    <row r="5995" spans="9:9" x14ac:dyDescent="0.4">
      <c r="I5995" s="1"/>
    </row>
    <row r="5997" spans="9:9" x14ac:dyDescent="0.4">
      <c r="I5997" s="1"/>
    </row>
    <row r="6001" spans="9:9" x14ac:dyDescent="0.4">
      <c r="I6001" s="1"/>
    </row>
    <row r="6002" spans="9:9" x14ac:dyDescent="0.4">
      <c r="I6002" s="1"/>
    </row>
    <row r="6003" spans="9:9" x14ac:dyDescent="0.4">
      <c r="I6003" s="1"/>
    </row>
    <row r="6004" spans="9:9" x14ac:dyDescent="0.4">
      <c r="I6004" s="1"/>
    </row>
    <row r="6010" spans="9:9" x14ac:dyDescent="0.4">
      <c r="I6010" s="1"/>
    </row>
    <row r="6014" spans="9:9" x14ac:dyDescent="0.4">
      <c r="I6014" s="1"/>
    </row>
    <row r="6020" spans="9:9" x14ac:dyDescent="0.4">
      <c r="I6020" s="1"/>
    </row>
    <row r="6022" spans="9:9" x14ac:dyDescent="0.4">
      <c r="I6022" s="1"/>
    </row>
    <row r="6028" spans="9:9" x14ac:dyDescent="0.4">
      <c r="I6028" s="1"/>
    </row>
    <row r="6030" spans="9:9" x14ac:dyDescent="0.4">
      <c r="I6030" s="1"/>
    </row>
    <row r="6031" spans="9:9" x14ac:dyDescent="0.4">
      <c r="I6031" s="1"/>
    </row>
    <row r="6034" spans="9:9" x14ac:dyDescent="0.4">
      <c r="I6034" s="1"/>
    </row>
    <row r="6035" spans="9:9" x14ac:dyDescent="0.4">
      <c r="I6035" s="1"/>
    </row>
    <row r="6037" spans="9:9" x14ac:dyDescent="0.4">
      <c r="I6037" s="1"/>
    </row>
    <row r="6041" spans="9:9" x14ac:dyDescent="0.4">
      <c r="I6041" s="1"/>
    </row>
    <row r="6043" spans="9:9" x14ac:dyDescent="0.4">
      <c r="I6043" s="1"/>
    </row>
    <row r="6044" spans="9:9" x14ac:dyDescent="0.4">
      <c r="I6044" s="1"/>
    </row>
    <row r="6047" spans="9:9" x14ac:dyDescent="0.4">
      <c r="I6047" s="1"/>
    </row>
    <row r="6049" spans="9:9" x14ac:dyDescent="0.4">
      <c r="I6049" s="1"/>
    </row>
    <row r="6051" spans="9:9" x14ac:dyDescent="0.4">
      <c r="I6051" s="1"/>
    </row>
    <row r="6055" spans="9:9" x14ac:dyDescent="0.4">
      <c r="I6055" s="1"/>
    </row>
    <row r="6057" spans="9:9" x14ac:dyDescent="0.4">
      <c r="I6057" s="1"/>
    </row>
    <row r="6060" spans="9:9" x14ac:dyDescent="0.4">
      <c r="I6060" s="1"/>
    </row>
    <row r="6065" spans="9:9" x14ac:dyDescent="0.4">
      <c r="I6065" s="1"/>
    </row>
    <row r="6067" spans="9:9" x14ac:dyDescent="0.4">
      <c r="I6067" s="1"/>
    </row>
    <row r="6070" spans="9:9" x14ac:dyDescent="0.4">
      <c r="I6070" s="1"/>
    </row>
    <row r="6078" spans="9:9" x14ac:dyDescent="0.4">
      <c r="I6078" s="1"/>
    </row>
    <row r="6080" spans="9:9" x14ac:dyDescent="0.4">
      <c r="I6080" s="1"/>
    </row>
    <row r="6082" spans="9:9" x14ac:dyDescent="0.4">
      <c r="I6082" s="1"/>
    </row>
    <row r="6087" spans="9:9" x14ac:dyDescent="0.4">
      <c r="I6087" s="1"/>
    </row>
    <row r="6089" spans="9:9" x14ac:dyDescent="0.4">
      <c r="I6089" s="1"/>
    </row>
    <row r="6090" spans="9:9" x14ac:dyDescent="0.4">
      <c r="I6090" s="1"/>
    </row>
    <row r="6092" spans="9:9" x14ac:dyDescent="0.4">
      <c r="I6092" s="1"/>
    </row>
    <row r="6100" spans="9:9" x14ac:dyDescent="0.4">
      <c r="I6100" s="1"/>
    </row>
    <row r="6103" spans="9:9" x14ac:dyDescent="0.4">
      <c r="I6103" s="1"/>
    </row>
    <row r="6107" spans="9:9" x14ac:dyDescent="0.4">
      <c r="I6107" s="1"/>
    </row>
    <row r="6110" spans="9:9" x14ac:dyDescent="0.4">
      <c r="I6110" s="1"/>
    </row>
    <row r="6111" spans="9:9" x14ac:dyDescent="0.4">
      <c r="I6111" s="1"/>
    </row>
    <row r="6114" spans="9:9" x14ac:dyDescent="0.4">
      <c r="I6114" s="1"/>
    </row>
    <row r="6130" spans="9:9" x14ac:dyDescent="0.4">
      <c r="I6130" s="1"/>
    </row>
    <row r="6132" spans="9:9" x14ac:dyDescent="0.4">
      <c r="I6132" s="1"/>
    </row>
    <row r="6136" spans="9:9" x14ac:dyDescent="0.4">
      <c r="I6136" s="1"/>
    </row>
    <row r="6138" spans="9:9" x14ac:dyDescent="0.4">
      <c r="I6138" s="1"/>
    </row>
    <row r="6139" spans="9:9" x14ac:dyDescent="0.4">
      <c r="I6139" s="1"/>
    </row>
    <row r="6142" spans="9:9" x14ac:dyDescent="0.4">
      <c r="I6142" s="1"/>
    </row>
    <row r="6161" spans="9:9" x14ac:dyDescent="0.4">
      <c r="I6161" s="1"/>
    </row>
    <row r="6163" spans="9:9" x14ac:dyDescent="0.4">
      <c r="I6163" s="1"/>
    </row>
    <row r="6164" spans="9:9" x14ac:dyDescent="0.4">
      <c r="I6164" s="1"/>
    </row>
    <row r="6167" spans="9:9" x14ac:dyDescent="0.4">
      <c r="I6167" s="1"/>
    </row>
    <row r="6180" spans="9:9" x14ac:dyDescent="0.4">
      <c r="I6180" s="1"/>
    </row>
    <row r="6211" spans="9:9" x14ac:dyDescent="0.4">
      <c r="I6211" s="1"/>
    </row>
    <row r="6212" spans="9:9" x14ac:dyDescent="0.4">
      <c r="I6212" s="1"/>
    </row>
    <row r="6216" spans="9:9" x14ac:dyDescent="0.4">
      <c r="I6216" s="1"/>
    </row>
    <row r="6220" spans="9:9" x14ac:dyDescent="0.4">
      <c r="I6220" s="1"/>
    </row>
    <row r="6222" spans="9:9" x14ac:dyDescent="0.4">
      <c r="I6222" s="1"/>
    </row>
    <row r="6226" spans="9:9" x14ac:dyDescent="0.4">
      <c r="I6226" s="1"/>
    </row>
    <row r="6227" spans="9:9" x14ac:dyDescent="0.4">
      <c r="I6227" s="1"/>
    </row>
    <row r="6237" spans="9:9" x14ac:dyDescent="0.4">
      <c r="I6237" s="1"/>
    </row>
    <row r="6246" spans="9:9" x14ac:dyDescent="0.4">
      <c r="I6246" s="1"/>
    </row>
    <row r="6250" spans="9:9" x14ac:dyDescent="0.4">
      <c r="I6250" s="1"/>
    </row>
    <row r="6260" spans="9:9" x14ac:dyDescent="0.4">
      <c r="I6260" s="1"/>
    </row>
    <row r="6266" spans="9:9" x14ac:dyDescent="0.4">
      <c r="I6266" s="1"/>
    </row>
    <row r="6268" spans="9:9" x14ac:dyDescent="0.4">
      <c r="I6268" s="1"/>
    </row>
    <row r="6279" spans="9:9" x14ac:dyDescent="0.4">
      <c r="I6279" s="1"/>
    </row>
    <row r="6281" spans="9:9" x14ac:dyDescent="0.4">
      <c r="I6281" s="1"/>
    </row>
    <row r="6284" spans="9:9" x14ac:dyDescent="0.4">
      <c r="I6284" s="1"/>
    </row>
    <row r="6288" spans="9:9" x14ac:dyDescent="0.4">
      <c r="I6288" s="1"/>
    </row>
    <row r="6289" spans="9:9" x14ac:dyDescent="0.4">
      <c r="I6289" s="1"/>
    </row>
    <row r="6291" spans="9:9" x14ac:dyDescent="0.4">
      <c r="I6291" s="1"/>
    </row>
    <row r="6292" spans="9:9" x14ac:dyDescent="0.4">
      <c r="I6292" s="1"/>
    </row>
    <row r="6297" spans="9:9" x14ac:dyDescent="0.4">
      <c r="I6297" s="1"/>
    </row>
    <row r="6307" spans="9:9" x14ac:dyDescent="0.4">
      <c r="I6307" s="1"/>
    </row>
    <row r="6310" spans="9:9" x14ac:dyDescent="0.4">
      <c r="I6310" s="1"/>
    </row>
    <row r="6311" spans="9:9" x14ac:dyDescent="0.4">
      <c r="I6311" s="1"/>
    </row>
    <row r="6318" spans="9:9" x14ac:dyDescent="0.4">
      <c r="I6318" s="1"/>
    </row>
    <row r="6320" spans="9:9" x14ac:dyDescent="0.4">
      <c r="I6320" s="1"/>
    </row>
    <row r="6322" spans="9:9" x14ac:dyDescent="0.4">
      <c r="I6322" s="1"/>
    </row>
    <row r="6336" spans="9:9" x14ac:dyDescent="0.4">
      <c r="I6336" s="1"/>
    </row>
    <row r="6344" spans="9:9" x14ac:dyDescent="0.4">
      <c r="I6344" s="1"/>
    </row>
    <row r="6349" spans="9:9" x14ac:dyDescent="0.4">
      <c r="I6349" s="1"/>
    </row>
    <row r="6357" spans="9:9" x14ac:dyDescent="0.4">
      <c r="I6357" s="1"/>
    </row>
    <row r="6358" spans="9:9" x14ac:dyDescent="0.4">
      <c r="I6358" s="1"/>
    </row>
    <row r="6359" spans="9:9" x14ac:dyDescent="0.4">
      <c r="I6359" s="1"/>
    </row>
    <row r="6364" spans="9:9" x14ac:dyDescent="0.4">
      <c r="I6364" s="1"/>
    </row>
    <row r="6367" spans="9:9" x14ac:dyDescent="0.4">
      <c r="I6367" s="1"/>
    </row>
    <row r="6375" spans="9:9" x14ac:dyDescent="0.4">
      <c r="I6375" s="1"/>
    </row>
    <row r="6377" spans="9:9" x14ac:dyDescent="0.4">
      <c r="I6377" s="1"/>
    </row>
    <row r="6380" spans="9:9" x14ac:dyDescent="0.4">
      <c r="I6380" s="1"/>
    </row>
    <row r="6383" spans="9:9" x14ac:dyDescent="0.4">
      <c r="I6383" s="1"/>
    </row>
    <row r="6385" spans="9:9" x14ac:dyDescent="0.4">
      <c r="I6385" s="1"/>
    </row>
    <row r="6386" spans="9:9" x14ac:dyDescent="0.4">
      <c r="I6386" s="1"/>
    </row>
    <row r="6388" spans="9:9" x14ac:dyDescent="0.4">
      <c r="I6388" s="1"/>
    </row>
    <row r="6390" spans="9:9" x14ac:dyDescent="0.4">
      <c r="I6390" s="1"/>
    </row>
    <row r="6391" spans="9:9" x14ac:dyDescent="0.4">
      <c r="I6391" s="1"/>
    </row>
    <row r="6401" spans="9:9" x14ac:dyDescent="0.4">
      <c r="I6401" s="1"/>
    </row>
    <row r="6406" spans="9:9" x14ac:dyDescent="0.4">
      <c r="I6406" s="1"/>
    </row>
    <row r="6411" spans="9:9" x14ac:dyDescent="0.4">
      <c r="I6411" s="1"/>
    </row>
    <row r="6414" spans="9:9" x14ac:dyDescent="0.4">
      <c r="I6414" s="1"/>
    </row>
    <row r="6418" spans="9:9" x14ac:dyDescent="0.4">
      <c r="I6418" s="1"/>
    </row>
    <row r="6420" spans="9:9" x14ac:dyDescent="0.4">
      <c r="I6420" s="1"/>
    </row>
    <row r="6421" spans="9:9" x14ac:dyDescent="0.4">
      <c r="I6421" s="1"/>
    </row>
    <row r="6423" spans="9:9" x14ac:dyDescent="0.4">
      <c r="I6423" s="1"/>
    </row>
    <row r="6430" spans="9:9" x14ac:dyDescent="0.4">
      <c r="I6430" s="1"/>
    </row>
    <row r="6431" spans="9:9" x14ac:dyDescent="0.4">
      <c r="I6431" s="1"/>
    </row>
    <row r="6436" spans="9:9" x14ac:dyDescent="0.4">
      <c r="I6436" s="1"/>
    </row>
    <row r="6437" spans="9:9" x14ac:dyDescent="0.4">
      <c r="I6437" s="1"/>
    </row>
    <row r="6439" spans="9:9" x14ac:dyDescent="0.4">
      <c r="I6439" s="1"/>
    </row>
    <row r="6440" spans="9:9" x14ac:dyDescent="0.4">
      <c r="I6440" s="1"/>
    </row>
    <row r="6444" spans="9:9" x14ac:dyDescent="0.4">
      <c r="I6444" s="1"/>
    </row>
    <row r="6448" spans="9:9" x14ac:dyDescent="0.4">
      <c r="I6448" s="1"/>
    </row>
    <row r="6453" spans="9:9" x14ac:dyDescent="0.4">
      <c r="I6453" s="1"/>
    </row>
    <row r="6454" spans="9:9" x14ac:dyDescent="0.4">
      <c r="I6454" s="1"/>
    </row>
    <row r="6455" spans="9:9" x14ac:dyDescent="0.4">
      <c r="I6455" s="1"/>
    </row>
    <row r="6456" spans="9:9" x14ac:dyDescent="0.4">
      <c r="I6456" s="1"/>
    </row>
    <row r="6458" spans="9:9" x14ac:dyDescent="0.4">
      <c r="I6458" s="1"/>
    </row>
    <row r="6460" spans="9:9" x14ac:dyDescent="0.4">
      <c r="I6460" s="1"/>
    </row>
    <row r="6464" spans="9:9" x14ac:dyDescent="0.4">
      <c r="I6464" s="1"/>
    </row>
    <row r="6467" spans="9:9" x14ac:dyDescent="0.4">
      <c r="I6467" s="1"/>
    </row>
    <row r="6469" spans="9:9" x14ac:dyDescent="0.4">
      <c r="I6469" s="1"/>
    </row>
    <row r="6471" spans="9:9" x14ac:dyDescent="0.4">
      <c r="I6471" s="1"/>
    </row>
    <row r="6477" spans="9:9" x14ac:dyDescent="0.4">
      <c r="I6477" s="1"/>
    </row>
    <row r="6479" spans="9:9" x14ac:dyDescent="0.4">
      <c r="I6479" s="1"/>
    </row>
    <row r="6484" spans="9:9" x14ac:dyDescent="0.4">
      <c r="I6484" s="1"/>
    </row>
    <row r="6486" spans="9:9" x14ac:dyDescent="0.4">
      <c r="I6486" s="1"/>
    </row>
    <row r="6493" spans="9:9" x14ac:dyDescent="0.4">
      <c r="I6493" s="1"/>
    </row>
    <row r="6494" spans="9:9" x14ac:dyDescent="0.4">
      <c r="I6494" s="1"/>
    </row>
    <row r="6502" spans="9:9" x14ac:dyDescent="0.4">
      <c r="I6502" s="1"/>
    </row>
    <row r="6506" spans="9:9" x14ac:dyDescent="0.4">
      <c r="I6506" s="1"/>
    </row>
    <row r="6510" spans="9:9" x14ac:dyDescent="0.4">
      <c r="I6510" s="1"/>
    </row>
    <row r="6519" spans="9:9" x14ac:dyDescent="0.4">
      <c r="I6519" s="1"/>
    </row>
    <row r="6528" spans="9:9" x14ac:dyDescent="0.4">
      <c r="I6528" s="1"/>
    </row>
    <row r="6533" spans="9:9" x14ac:dyDescent="0.4">
      <c r="I6533" s="1"/>
    </row>
    <row r="6534" spans="9:9" x14ac:dyDescent="0.4">
      <c r="I6534" s="1"/>
    </row>
    <row r="6536" spans="9:9" x14ac:dyDescent="0.4">
      <c r="I6536" s="1"/>
    </row>
    <row r="6540" spans="9:9" x14ac:dyDescent="0.4">
      <c r="I6540" s="1"/>
    </row>
    <row r="6542" spans="9:9" x14ac:dyDescent="0.4">
      <c r="I6542" s="1"/>
    </row>
    <row r="6545" spans="6:9" x14ac:dyDescent="0.4">
      <c r="I6545" s="1"/>
    </row>
    <row r="6553" spans="6:9" x14ac:dyDescent="0.4">
      <c r="I6553" s="1"/>
    </row>
    <row r="6554" spans="6:9" x14ac:dyDescent="0.4">
      <c r="I6554" s="1"/>
    </row>
    <row r="6556" spans="6:9" x14ac:dyDescent="0.4">
      <c r="I6556" s="1"/>
    </row>
    <row r="6559" spans="6:9" x14ac:dyDescent="0.4">
      <c r="F6559" s="1"/>
    </row>
    <row r="6561" spans="9:9" x14ac:dyDescent="0.4">
      <c r="I6561" s="1"/>
    </row>
    <row r="6562" spans="9:9" x14ac:dyDescent="0.4">
      <c r="I6562" s="1"/>
    </row>
    <row r="6563" spans="9:9" x14ac:dyDescent="0.4">
      <c r="I6563" s="1"/>
    </row>
    <row r="6565" spans="9:9" x14ac:dyDescent="0.4">
      <c r="I6565" s="1"/>
    </row>
    <row r="6566" spans="9:9" x14ac:dyDescent="0.4">
      <c r="I6566" s="1"/>
    </row>
    <row r="6568" spans="9:9" x14ac:dyDescent="0.4">
      <c r="I6568" s="1"/>
    </row>
    <row r="6569" spans="9:9" x14ac:dyDescent="0.4">
      <c r="I6569" s="1"/>
    </row>
    <row r="6575" spans="9:9" x14ac:dyDescent="0.4">
      <c r="I6575" s="1"/>
    </row>
    <row r="6577" spans="9:9" x14ac:dyDescent="0.4">
      <c r="I6577" s="1"/>
    </row>
    <row r="6578" spans="9:9" x14ac:dyDescent="0.4">
      <c r="I6578" s="1"/>
    </row>
    <row r="6582" spans="9:9" x14ac:dyDescent="0.4">
      <c r="I6582" s="1"/>
    </row>
    <row r="6590" spans="9:9" x14ac:dyDescent="0.4">
      <c r="I6590" s="1"/>
    </row>
    <row r="6595" spans="9:9" x14ac:dyDescent="0.4">
      <c r="I6595" s="1"/>
    </row>
    <row r="6596" spans="9:9" x14ac:dyDescent="0.4">
      <c r="I6596" s="1"/>
    </row>
    <row r="6599" spans="9:9" x14ac:dyDescent="0.4">
      <c r="I6599" s="1"/>
    </row>
    <row r="6601" spans="9:9" x14ac:dyDescent="0.4">
      <c r="I6601" s="1"/>
    </row>
    <row r="6605" spans="9:9" x14ac:dyDescent="0.4">
      <c r="I6605" s="1"/>
    </row>
    <row r="6607" spans="9:9" x14ac:dyDescent="0.4">
      <c r="I6607" s="1"/>
    </row>
    <row r="6613" spans="9:9" x14ac:dyDescent="0.4">
      <c r="I6613" s="1"/>
    </row>
    <row r="6617" spans="9:9" x14ac:dyDescent="0.4">
      <c r="I6617" s="1"/>
    </row>
    <row r="6623" spans="9:9" x14ac:dyDescent="0.4">
      <c r="I6623" s="1"/>
    </row>
    <row r="6627" spans="9:9" x14ac:dyDescent="0.4">
      <c r="I6627" s="1"/>
    </row>
    <row r="6628" spans="9:9" x14ac:dyDescent="0.4">
      <c r="I6628" s="1"/>
    </row>
    <row r="6631" spans="9:9" x14ac:dyDescent="0.4">
      <c r="I6631" s="1"/>
    </row>
    <row r="6633" spans="9:9" x14ac:dyDescent="0.4">
      <c r="I6633" s="1"/>
    </row>
    <row r="6635" spans="9:9" x14ac:dyDescent="0.4">
      <c r="I6635" s="1"/>
    </row>
    <row r="6653" spans="9:9" x14ac:dyDescent="0.4">
      <c r="I6653" s="1"/>
    </row>
    <row r="6657" spans="9:9" x14ac:dyDescent="0.4">
      <c r="I6657" s="1"/>
    </row>
    <row r="6660" spans="9:9" x14ac:dyDescent="0.4">
      <c r="I6660" s="1"/>
    </row>
    <row r="6661" spans="9:9" x14ac:dyDescent="0.4">
      <c r="I6661" s="1"/>
    </row>
    <row r="6663" spans="9:9" x14ac:dyDescent="0.4">
      <c r="I6663" s="1"/>
    </row>
    <row r="6665" spans="9:9" x14ac:dyDescent="0.4">
      <c r="I6665" s="1"/>
    </row>
    <row r="6666" spans="9:9" x14ac:dyDescent="0.4">
      <c r="I6666" s="1"/>
    </row>
    <row r="6669" spans="9:9" x14ac:dyDescent="0.4">
      <c r="I6669" s="1"/>
    </row>
    <row r="6670" spans="9:9" x14ac:dyDescent="0.4">
      <c r="I6670" s="1"/>
    </row>
    <row r="6671" spans="9:9" x14ac:dyDescent="0.4">
      <c r="I6671" s="1"/>
    </row>
    <row r="6672" spans="9:9" x14ac:dyDescent="0.4">
      <c r="I6672" s="1"/>
    </row>
    <row r="6677" spans="9:9" x14ac:dyDescent="0.4">
      <c r="I6677" s="1"/>
    </row>
    <row r="6678" spans="9:9" x14ac:dyDescent="0.4">
      <c r="I6678" s="1"/>
    </row>
    <row r="6680" spans="9:9" x14ac:dyDescent="0.4">
      <c r="I6680" s="1"/>
    </row>
    <row r="6686" spans="9:9" x14ac:dyDescent="0.4">
      <c r="I6686" s="1"/>
    </row>
    <row r="6695" spans="9:9" x14ac:dyDescent="0.4">
      <c r="I6695" s="1"/>
    </row>
    <row r="6696" spans="9:9" x14ac:dyDescent="0.4">
      <c r="I6696" s="1"/>
    </row>
    <row r="6701" spans="9:9" x14ac:dyDescent="0.4">
      <c r="I6701" s="1"/>
    </row>
    <row r="6705" spans="9:9" x14ac:dyDescent="0.4">
      <c r="I6705" s="1"/>
    </row>
    <row r="6714" spans="9:9" x14ac:dyDescent="0.4">
      <c r="I6714" s="1"/>
    </row>
    <row r="6725" spans="9:9" x14ac:dyDescent="0.4">
      <c r="I6725" s="1"/>
    </row>
    <row r="6735" spans="9:9" x14ac:dyDescent="0.4">
      <c r="I6735" s="1"/>
    </row>
    <row r="6742" spans="6:9" x14ac:dyDescent="0.4">
      <c r="F6742" s="1"/>
    </row>
    <row r="6744" spans="6:9" x14ac:dyDescent="0.4">
      <c r="I6744" s="1"/>
    </row>
    <row r="6745" spans="6:9" x14ac:dyDescent="0.4">
      <c r="I6745" s="1"/>
    </row>
    <row r="6748" spans="6:9" x14ac:dyDescent="0.4">
      <c r="I6748" s="1"/>
    </row>
    <row r="6752" spans="6:9" x14ac:dyDescent="0.4">
      <c r="I6752" s="1"/>
    </row>
    <row r="6754" spans="9:9" x14ac:dyDescent="0.4">
      <c r="I6754" s="1"/>
    </row>
    <row r="6755" spans="9:9" x14ac:dyDescent="0.4">
      <c r="I6755" s="1"/>
    </row>
    <row r="6756" spans="9:9" x14ac:dyDescent="0.4">
      <c r="I6756" s="1"/>
    </row>
    <row r="6761" spans="9:9" x14ac:dyDescent="0.4">
      <c r="I6761" s="1"/>
    </row>
    <row r="6765" spans="9:9" x14ac:dyDescent="0.4">
      <c r="I6765" s="1"/>
    </row>
    <row r="6767" spans="9:9" x14ac:dyDescent="0.4">
      <c r="I6767" s="1"/>
    </row>
    <row r="6769" spans="9:9" x14ac:dyDescent="0.4">
      <c r="I6769" s="1"/>
    </row>
    <row r="6776" spans="9:9" x14ac:dyDescent="0.4">
      <c r="I6776" s="1"/>
    </row>
    <row r="6778" spans="9:9" x14ac:dyDescent="0.4">
      <c r="I6778" s="1"/>
    </row>
    <row r="6781" spans="9:9" x14ac:dyDescent="0.4">
      <c r="I6781" s="1"/>
    </row>
    <row r="6783" spans="9:9" x14ac:dyDescent="0.4">
      <c r="I6783" s="1"/>
    </row>
    <row r="6791" spans="9:9" x14ac:dyDescent="0.4">
      <c r="I6791" s="1"/>
    </row>
    <row r="6792" spans="9:9" x14ac:dyDescent="0.4">
      <c r="I6792" s="1"/>
    </row>
    <row r="6794" spans="9:9" x14ac:dyDescent="0.4">
      <c r="I6794" s="1"/>
    </row>
    <row r="6800" spans="9:9" x14ac:dyDescent="0.4">
      <c r="I6800" s="1"/>
    </row>
    <row r="6801" spans="6:9" x14ac:dyDescent="0.4">
      <c r="I6801" s="1"/>
    </row>
    <row r="6805" spans="6:9" x14ac:dyDescent="0.4">
      <c r="F6805" s="1"/>
    </row>
    <row r="6806" spans="6:9" x14ac:dyDescent="0.4">
      <c r="I6806" s="1"/>
    </row>
    <row r="6807" spans="6:9" x14ac:dyDescent="0.4">
      <c r="I6807" s="1"/>
    </row>
    <row r="6812" spans="6:9" x14ac:dyDescent="0.4">
      <c r="I6812" s="1"/>
    </row>
    <row r="6813" spans="6:9" x14ac:dyDescent="0.4">
      <c r="I6813" s="1"/>
    </row>
    <row r="6814" spans="6:9" x14ac:dyDescent="0.4">
      <c r="I6814" s="1"/>
    </row>
    <row r="6816" spans="6:9" x14ac:dyDescent="0.4">
      <c r="F6816" s="1"/>
      <c r="I6816" s="1"/>
    </row>
    <row r="6819" spans="9:9" x14ac:dyDescent="0.4">
      <c r="I6819" s="1"/>
    </row>
    <row r="6821" spans="9:9" x14ac:dyDescent="0.4">
      <c r="I6821" s="1"/>
    </row>
    <row r="6825" spans="9:9" x14ac:dyDescent="0.4">
      <c r="I6825" s="1"/>
    </row>
    <row r="6827" spans="9:9" x14ac:dyDescent="0.4">
      <c r="I6827" s="1"/>
    </row>
    <row r="6829" spans="9:9" x14ac:dyDescent="0.4">
      <c r="I6829" s="1"/>
    </row>
    <row r="6839" spans="9:9" x14ac:dyDescent="0.4">
      <c r="I6839" s="1"/>
    </row>
    <row r="6840" spans="9:9" x14ac:dyDescent="0.4">
      <c r="I6840" s="1"/>
    </row>
    <row r="6842" spans="9:9" x14ac:dyDescent="0.4">
      <c r="I6842" s="1"/>
    </row>
    <row r="6844" spans="9:9" x14ac:dyDescent="0.4">
      <c r="I6844" s="1"/>
    </row>
    <row r="6848" spans="9:9" x14ac:dyDescent="0.4">
      <c r="I6848" s="1"/>
    </row>
    <row r="6860" spans="9:9" x14ac:dyDescent="0.4">
      <c r="I6860" s="1"/>
    </row>
    <row r="6865" spans="9:9" x14ac:dyDescent="0.4">
      <c r="I6865" s="1"/>
    </row>
    <row r="6874" spans="9:9" x14ac:dyDescent="0.4">
      <c r="I6874" s="1"/>
    </row>
    <row r="6875" spans="9:9" x14ac:dyDescent="0.4">
      <c r="I6875" s="1"/>
    </row>
    <row r="6878" spans="9:9" x14ac:dyDescent="0.4">
      <c r="I6878" s="1"/>
    </row>
    <row r="6881" spans="9:9" x14ac:dyDescent="0.4">
      <c r="I6881" s="1"/>
    </row>
    <row r="6882" spans="9:9" x14ac:dyDescent="0.4">
      <c r="I6882" s="1"/>
    </row>
    <row r="6905" spans="6:6" x14ac:dyDescent="0.4">
      <c r="F6905" s="1"/>
    </row>
    <row r="6916" spans="6:9" x14ac:dyDescent="0.4">
      <c r="F6916" s="1"/>
    </row>
    <row r="6917" spans="6:9" x14ac:dyDescent="0.4">
      <c r="I6917" s="1"/>
    </row>
    <row r="6921" spans="6:9" x14ac:dyDescent="0.4">
      <c r="I6921" s="1"/>
    </row>
    <row r="6922" spans="6:9" x14ac:dyDescent="0.4">
      <c r="I6922" s="1"/>
    </row>
    <row r="6924" spans="6:9" x14ac:dyDescent="0.4">
      <c r="I6924" s="1"/>
    </row>
    <row r="6926" spans="6:9" x14ac:dyDescent="0.4">
      <c r="I6926" s="1"/>
    </row>
    <row r="6938" spans="6:9" x14ac:dyDescent="0.4">
      <c r="F6938" s="1"/>
    </row>
    <row r="6940" spans="6:9" x14ac:dyDescent="0.4">
      <c r="I6940" s="1"/>
    </row>
    <row r="6958" spans="9:9" x14ac:dyDescent="0.4">
      <c r="I6958" s="1"/>
    </row>
    <row r="6960" spans="9:9" x14ac:dyDescent="0.4">
      <c r="I6960" s="1"/>
    </row>
    <row r="6968" spans="6:9" x14ac:dyDescent="0.4">
      <c r="I6968" s="1"/>
    </row>
    <row r="6970" spans="6:9" x14ac:dyDescent="0.4">
      <c r="I6970" s="1"/>
    </row>
    <row r="6971" spans="6:9" x14ac:dyDescent="0.4">
      <c r="F6971" s="1"/>
    </row>
    <row r="6975" spans="6:9" x14ac:dyDescent="0.4">
      <c r="I6975" s="1"/>
    </row>
    <row r="6981" spans="6:9" x14ac:dyDescent="0.4">
      <c r="I6981" s="1"/>
    </row>
    <row r="6982" spans="6:9" x14ac:dyDescent="0.4">
      <c r="I6982" s="1"/>
    </row>
    <row r="6983" spans="6:9" x14ac:dyDescent="0.4">
      <c r="F6983" s="1"/>
    </row>
    <row r="6985" spans="6:9" x14ac:dyDescent="0.4">
      <c r="I6985" s="1"/>
    </row>
    <row r="6986" spans="6:9" x14ac:dyDescent="0.4">
      <c r="I6986" s="1"/>
    </row>
    <row r="6992" spans="6:9" x14ac:dyDescent="0.4">
      <c r="I6992" s="1"/>
    </row>
    <row r="6994" spans="6:9" x14ac:dyDescent="0.4">
      <c r="I6994" s="1"/>
    </row>
    <row r="6999" spans="6:9" x14ac:dyDescent="0.4">
      <c r="I6999" s="1"/>
    </row>
    <row r="7001" spans="6:9" x14ac:dyDescent="0.4">
      <c r="I7001" s="1"/>
    </row>
    <row r="7003" spans="6:9" x14ac:dyDescent="0.4">
      <c r="I7003" s="1"/>
    </row>
    <row r="7004" spans="6:9" x14ac:dyDescent="0.4">
      <c r="I7004" s="1"/>
    </row>
    <row r="7005" spans="6:9" x14ac:dyDescent="0.4">
      <c r="F7005" s="1"/>
      <c r="I7005" s="1"/>
    </row>
    <row r="7023" spans="9:9" x14ac:dyDescent="0.4">
      <c r="I7023" s="1"/>
    </row>
    <row r="7024" spans="9:9" x14ac:dyDescent="0.4">
      <c r="I7024" s="1"/>
    </row>
    <row r="7025" spans="6:9" x14ac:dyDescent="0.4">
      <c r="I7025" s="1"/>
    </row>
    <row r="7034" spans="6:9" x14ac:dyDescent="0.4">
      <c r="I7034" s="1"/>
    </row>
    <row r="7035" spans="6:9" x14ac:dyDescent="0.4">
      <c r="I7035" s="1"/>
    </row>
    <row r="7036" spans="6:9" x14ac:dyDescent="0.4">
      <c r="I7036" s="1"/>
    </row>
    <row r="7038" spans="6:9" x14ac:dyDescent="0.4">
      <c r="F7038" s="1"/>
    </row>
    <row r="7039" spans="6:9" x14ac:dyDescent="0.4">
      <c r="I7039" s="1"/>
    </row>
    <row r="7044" spans="6:9" x14ac:dyDescent="0.4">
      <c r="I7044" s="1"/>
    </row>
    <row r="7046" spans="6:9" x14ac:dyDescent="0.4">
      <c r="I7046" s="1"/>
    </row>
    <row r="7049" spans="6:9" x14ac:dyDescent="0.4">
      <c r="F7049" s="1"/>
    </row>
    <row r="7053" spans="6:9" x14ac:dyDescent="0.4">
      <c r="I7053" s="1"/>
    </row>
    <row r="7056" spans="6:9" x14ac:dyDescent="0.4">
      <c r="I7056" s="1"/>
    </row>
    <row r="7058" spans="6:9" x14ac:dyDescent="0.4">
      <c r="I7058" s="1"/>
    </row>
    <row r="7062" spans="6:9" x14ac:dyDescent="0.4">
      <c r="I7062" s="1"/>
    </row>
    <row r="7070" spans="6:9" x14ac:dyDescent="0.4">
      <c r="I7070" s="1"/>
    </row>
    <row r="7071" spans="6:9" x14ac:dyDescent="0.4">
      <c r="F7071" s="1"/>
    </row>
    <row r="7076" spans="9:9" x14ac:dyDescent="0.4">
      <c r="I7076" s="1"/>
    </row>
    <row r="7086" spans="9:9" x14ac:dyDescent="0.4">
      <c r="I7086" s="1"/>
    </row>
    <row r="7091" spans="6:9" x14ac:dyDescent="0.4">
      <c r="I7091" s="1"/>
    </row>
    <row r="7094" spans="6:9" x14ac:dyDescent="0.4">
      <c r="F7094" s="1"/>
    </row>
    <row r="7113" spans="9:9" x14ac:dyDescent="0.4">
      <c r="I7113" s="1"/>
    </row>
    <row r="7114" spans="9:9" x14ac:dyDescent="0.4">
      <c r="I7114" s="1"/>
    </row>
    <row r="7122" spans="6:9" x14ac:dyDescent="0.4">
      <c r="I7122" s="1"/>
    </row>
    <row r="7123" spans="6:9" x14ac:dyDescent="0.4">
      <c r="I7123" s="1"/>
    </row>
    <row r="7127" spans="6:9" x14ac:dyDescent="0.4">
      <c r="F7127" s="1"/>
      <c r="I7127" s="1"/>
    </row>
    <row r="7141" spans="9:9" x14ac:dyDescent="0.4">
      <c r="I7141" s="1"/>
    </row>
    <row r="7148" spans="9:9" x14ac:dyDescent="0.4">
      <c r="I7148" s="1"/>
    </row>
    <row r="7149" spans="9:9" x14ac:dyDescent="0.4">
      <c r="I7149" s="1"/>
    </row>
    <row r="7160" spans="6:9" x14ac:dyDescent="0.4">
      <c r="F7160" s="1"/>
    </row>
    <row r="7162" spans="6:9" x14ac:dyDescent="0.4">
      <c r="I7162" s="1"/>
    </row>
    <row r="7163" spans="6:9" x14ac:dyDescent="0.4">
      <c r="I7163" s="1"/>
    </row>
    <row r="7164" spans="6:9" x14ac:dyDescent="0.4">
      <c r="I7164" s="1"/>
    </row>
    <row r="7166" spans="6:9" x14ac:dyDescent="0.4">
      <c r="I7166" s="1"/>
    </row>
    <row r="7169" spans="9:9" x14ac:dyDescent="0.4">
      <c r="I7169" s="1"/>
    </row>
    <row r="7170" spans="9:9" x14ac:dyDescent="0.4">
      <c r="I7170" s="1"/>
    </row>
    <row r="7172" spans="9:9" x14ac:dyDescent="0.4">
      <c r="I7172" s="1"/>
    </row>
    <row r="7173" spans="9:9" x14ac:dyDescent="0.4">
      <c r="I7173" s="1"/>
    </row>
    <row r="7174" spans="9:9" x14ac:dyDescent="0.4">
      <c r="I7174" s="1"/>
    </row>
    <row r="7178" spans="9:9" x14ac:dyDescent="0.4">
      <c r="I7178" s="1"/>
    </row>
    <row r="7188" spans="6:9" x14ac:dyDescent="0.4">
      <c r="I7188" s="1"/>
    </row>
    <row r="7193" spans="6:9" x14ac:dyDescent="0.4">
      <c r="F7193" s="1"/>
    </row>
    <row r="7201" spans="6:9" x14ac:dyDescent="0.4">
      <c r="I7201" s="1"/>
    </row>
    <row r="7204" spans="6:9" x14ac:dyDescent="0.4">
      <c r="I7204" s="1"/>
    </row>
    <row r="7205" spans="6:9" x14ac:dyDescent="0.4">
      <c r="I7205" s="1"/>
    </row>
    <row r="7207" spans="6:9" x14ac:dyDescent="0.4">
      <c r="I7207" s="1"/>
    </row>
    <row r="7208" spans="6:9" x14ac:dyDescent="0.4">
      <c r="I7208" s="1"/>
    </row>
    <row r="7212" spans="6:9" x14ac:dyDescent="0.4">
      <c r="I7212" s="1"/>
    </row>
    <row r="7215" spans="6:9" x14ac:dyDescent="0.4">
      <c r="I7215" s="1"/>
    </row>
    <row r="7216" spans="6:9" x14ac:dyDescent="0.4">
      <c r="F7216" s="1"/>
    </row>
    <row r="7221" spans="6:9" x14ac:dyDescent="0.4">
      <c r="I7221" s="1"/>
    </row>
    <row r="7222" spans="6:9" x14ac:dyDescent="0.4">
      <c r="F7222" s="1"/>
    </row>
    <row r="7223" spans="6:9" x14ac:dyDescent="0.4">
      <c r="I7223" s="1"/>
    </row>
    <row r="7224" spans="6:9" x14ac:dyDescent="0.4">
      <c r="I7224" s="1"/>
    </row>
    <row r="7225" spans="6:9" x14ac:dyDescent="0.4">
      <c r="I7225" s="1"/>
    </row>
    <row r="7227" spans="6:9" x14ac:dyDescent="0.4">
      <c r="F7227" s="1"/>
      <c r="I7227" s="1"/>
    </row>
    <row r="7230" spans="6:9" x14ac:dyDescent="0.4">
      <c r="I7230" s="1"/>
    </row>
    <row r="7235" spans="9:9" x14ac:dyDescent="0.4">
      <c r="I7235" s="1"/>
    </row>
    <row r="7236" spans="9:9" x14ac:dyDescent="0.4">
      <c r="I7236" s="1"/>
    </row>
    <row r="7243" spans="9:9" x14ac:dyDescent="0.4">
      <c r="I7243" s="1"/>
    </row>
    <row r="7249" spans="6:9" x14ac:dyDescent="0.4">
      <c r="F7249" s="1"/>
    </row>
    <row r="7250" spans="6:9" x14ac:dyDescent="0.4">
      <c r="I7250" s="1"/>
    </row>
    <row r="7251" spans="6:9" x14ac:dyDescent="0.4">
      <c r="I7251" s="1"/>
    </row>
    <row r="7256" spans="6:9" x14ac:dyDescent="0.4">
      <c r="I7256" s="1"/>
    </row>
    <row r="7264" spans="6:9" x14ac:dyDescent="0.4">
      <c r="I7264" s="1"/>
    </row>
    <row r="7267" spans="9:9" x14ac:dyDescent="0.4">
      <c r="I7267" s="1"/>
    </row>
    <row r="7270" spans="9:9" x14ac:dyDescent="0.4">
      <c r="I7270" s="1"/>
    </row>
    <row r="7273" spans="9:9" x14ac:dyDescent="0.4">
      <c r="I7273" s="1"/>
    </row>
    <row r="7277" spans="9:9" x14ac:dyDescent="0.4">
      <c r="I7277" s="1"/>
    </row>
    <row r="7278" spans="9:9" x14ac:dyDescent="0.4">
      <c r="I7278" s="1"/>
    </row>
    <row r="7282" spans="6:9" x14ac:dyDescent="0.4">
      <c r="F7282" s="1"/>
    </row>
    <row r="7290" spans="6:9" x14ac:dyDescent="0.4">
      <c r="I7290" s="1"/>
    </row>
    <row r="7293" spans="6:9" x14ac:dyDescent="0.4">
      <c r="F7293" s="1"/>
      <c r="I7293" s="1"/>
    </row>
    <row r="7296" spans="6:9" x14ac:dyDescent="0.4">
      <c r="I7296" s="1"/>
    </row>
    <row r="7300" spans="9:9" x14ac:dyDescent="0.4">
      <c r="I7300" s="1"/>
    </row>
    <row r="7302" spans="9:9" x14ac:dyDescent="0.4">
      <c r="I7302" s="1"/>
    </row>
    <row r="7303" spans="9:9" x14ac:dyDescent="0.4">
      <c r="I7303" s="1"/>
    </row>
    <row r="7307" spans="9:9" x14ac:dyDescent="0.4">
      <c r="I7307" s="1"/>
    </row>
    <row r="7308" spans="9:9" x14ac:dyDescent="0.4">
      <c r="I7308" s="1"/>
    </row>
    <row r="7311" spans="9:9" x14ac:dyDescent="0.4">
      <c r="I7311" s="1"/>
    </row>
    <row r="7316" spans="6:9" x14ac:dyDescent="0.4">
      <c r="F7316" s="1"/>
    </row>
    <row r="7319" spans="6:9" x14ac:dyDescent="0.4">
      <c r="I7319" s="1"/>
    </row>
    <row r="7320" spans="6:9" x14ac:dyDescent="0.4">
      <c r="I7320" s="1"/>
    </row>
    <row r="7322" spans="6:9" x14ac:dyDescent="0.4">
      <c r="I7322" s="1"/>
    </row>
    <row r="7324" spans="6:9" x14ac:dyDescent="0.4">
      <c r="I7324" s="1"/>
    </row>
    <row r="7325" spans="6:9" x14ac:dyDescent="0.4">
      <c r="I7325" s="1"/>
    </row>
    <row r="7330" spans="6:9" x14ac:dyDescent="0.4">
      <c r="I7330" s="1"/>
    </row>
    <row r="7332" spans="6:9" x14ac:dyDescent="0.4">
      <c r="I7332" s="1"/>
    </row>
    <row r="7335" spans="6:9" x14ac:dyDescent="0.4">
      <c r="I7335" s="1"/>
    </row>
    <row r="7337" spans="6:9" x14ac:dyDescent="0.4">
      <c r="I7337" s="1"/>
    </row>
    <row r="7338" spans="6:9" x14ac:dyDescent="0.4">
      <c r="F7338" s="1"/>
    </row>
    <row r="7340" spans="6:9" x14ac:dyDescent="0.4">
      <c r="I7340" s="1"/>
    </row>
    <row r="7344" spans="6:9" x14ac:dyDescent="0.4">
      <c r="I7344" s="1"/>
    </row>
    <row r="7349" spans="6:9" x14ac:dyDescent="0.4">
      <c r="F7349" s="1"/>
    </row>
    <row r="7353" spans="6:9" x14ac:dyDescent="0.4">
      <c r="I7353" s="1"/>
    </row>
    <row r="7362" spans="9:9" x14ac:dyDescent="0.4">
      <c r="I7362" s="1"/>
    </row>
    <row r="7364" spans="9:9" x14ac:dyDescent="0.4">
      <c r="I7364" s="1"/>
    </row>
    <row r="7368" spans="9:9" x14ac:dyDescent="0.4">
      <c r="I7368" s="1"/>
    </row>
    <row r="7369" spans="9:9" x14ac:dyDescent="0.4">
      <c r="I7369" s="1"/>
    </row>
    <row r="7370" spans="9:9" x14ac:dyDescent="0.4">
      <c r="I7370" s="1"/>
    </row>
    <row r="7375" spans="9:9" x14ac:dyDescent="0.4">
      <c r="I7375" s="1"/>
    </row>
    <row r="7380" spans="6:9" x14ac:dyDescent="0.4">
      <c r="I7380" s="1"/>
    </row>
    <row r="7381" spans="6:9" x14ac:dyDescent="0.4">
      <c r="I7381" s="1"/>
    </row>
    <row r="7382" spans="6:9" x14ac:dyDescent="0.4">
      <c r="F7382" s="1"/>
    </row>
    <row r="7383" spans="6:9" x14ac:dyDescent="0.4">
      <c r="I7383" s="1"/>
    </row>
    <row r="7385" spans="6:9" x14ac:dyDescent="0.4">
      <c r="I7385" s="1"/>
    </row>
    <row r="7387" spans="6:9" x14ac:dyDescent="0.4">
      <c r="I7387" s="1"/>
    </row>
    <row r="7388" spans="6:9" x14ac:dyDescent="0.4">
      <c r="I7388" s="1"/>
    </row>
    <row r="7389" spans="6:9" x14ac:dyDescent="0.4">
      <c r="I7389" s="1"/>
    </row>
    <row r="7390" spans="6:9" x14ac:dyDescent="0.4">
      <c r="I7390" s="1"/>
    </row>
    <row r="7394" spans="6:9" x14ac:dyDescent="0.4">
      <c r="I7394" s="1"/>
    </row>
    <row r="7397" spans="6:9" x14ac:dyDescent="0.4">
      <c r="I7397" s="1"/>
    </row>
    <row r="7401" spans="6:9" x14ac:dyDescent="0.4">
      <c r="I7401" s="1"/>
    </row>
    <row r="7402" spans="6:9" x14ac:dyDescent="0.4">
      <c r="I7402" s="1"/>
    </row>
    <row r="7404" spans="6:9" x14ac:dyDescent="0.4">
      <c r="F7404" s="1"/>
    </row>
    <row r="7410" spans="6:9" x14ac:dyDescent="0.4">
      <c r="I7410" s="1"/>
    </row>
    <row r="7415" spans="6:9" x14ac:dyDescent="0.4">
      <c r="F7415" s="1"/>
      <c r="I7415" s="1"/>
    </row>
    <row r="7417" spans="6:9" x14ac:dyDescent="0.4">
      <c r="I7417" s="1"/>
    </row>
    <row r="7420" spans="6:9" x14ac:dyDescent="0.4">
      <c r="I7420" s="1"/>
    </row>
    <row r="7423" spans="6:9" x14ac:dyDescent="0.4">
      <c r="I7423" s="1"/>
    </row>
    <row r="7424" spans="6:9" x14ac:dyDescent="0.4">
      <c r="I7424" s="1"/>
    </row>
    <row r="7433" spans="9:9" x14ac:dyDescent="0.4">
      <c r="I7433" s="1"/>
    </row>
    <row r="7445" spans="6:9" x14ac:dyDescent="0.4">
      <c r="I7445" s="1"/>
    </row>
    <row r="7449" spans="6:9" x14ac:dyDescent="0.4">
      <c r="F7449" s="1"/>
      <c r="I7449" s="1"/>
    </row>
    <row r="7470" spans="6:9" x14ac:dyDescent="0.4">
      <c r="I7470" s="1"/>
    </row>
    <row r="7471" spans="6:9" x14ac:dyDescent="0.4">
      <c r="F7471" s="1"/>
    </row>
    <row r="7485" spans="6:9" x14ac:dyDescent="0.4">
      <c r="F7485" s="1"/>
    </row>
    <row r="7487" spans="6:9" x14ac:dyDescent="0.4">
      <c r="I7487" s="1"/>
    </row>
    <row r="7490" spans="6:9" x14ac:dyDescent="0.4">
      <c r="I7490" s="1"/>
    </row>
    <row r="7496" spans="6:9" x14ac:dyDescent="0.4">
      <c r="F7496" s="1"/>
    </row>
    <row r="7498" spans="6:9" x14ac:dyDescent="0.4">
      <c r="F7498" s="1"/>
    </row>
    <row r="7504" spans="6:9" x14ac:dyDescent="0.4">
      <c r="F7504" s="1"/>
    </row>
    <row r="7507" spans="9:9" x14ac:dyDescent="0.4">
      <c r="I7507" s="1"/>
    </row>
    <row r="7512" spans="9:9" x14ac:dyDescent="0.4">
      <c r="I7512" s="1"/>
    </row>
    <row r="7514" spans="9:9" x14ac:dyDescent="0.4">
      <c r="I7514" s="1"/>
    </row>
    <row r="7521" spans="6:9" x14ac:dyDescent="0.4">
      <c r="I7521" s="1"/>
    </row>
    <row r="7523" spans="6:9" x14ac:dyDescent="0.4">
      <c r="F7523" s="1"/>
    </row>
    <row r="7528" spans="6:9" x14ac:dyDescent="0.4">
      <c r="I7528" s="1"/>
    </row>
    <row r="7530" spans="6:9" x14ac:dyDescent="0.4">
      <c r="I7530" s="1"/>
    </row>
    <row r="7531" spans="6:9" x14ac:dyDescent="0.4">
      <c r="F7531" s="1"/>
    </row>
    <row r="7538" spans="9:9" x14ac:dyDescent="0.4">
      <c r="I7538" s="1"/>
    </row>
    <row r="7539" spans="9:9" x14ac:dyDescent="0.4">
      <c r="I7539" s="1"/>
    </row>
    <row r="7542" spans="9:9" x14ac:dyDescent="0.4">
      <c r="I7542" s="1"/>
    </row>
    <row r="7552" spans="9:9" x14ac:dyDescent="0.4">
      <c r="I7552" s="1"/>
    </row>
    <row r="7554" spans="6:9" x14ac:dyDescent="0.4">
      <c r="F7554" s="1"/>
    </row>
    <row r="7556" spans="6:9" x14ac:dyDescent="0.4">
      <c r="I7556" s="1"/>
    </row>
    <row r="7565" spans="6:9" x14ac:dyDescent="0.4">
      <c r="I7565" s="1"/>
    </row>
    <row r="7566" spans="6:9" x14ac:dyDescent="0.4">
      <c r="I7566" s="1"/>
    </row>
    <row r="7569" spans="9:9" x14ac:dyDescent="0.4">
      <c r="I7569" s="1"/>
    </row>
    <row r="7570" spans="9:9" x14ac:dyDescent="0.4">
      <c r="I7570" s="1"/>
    </row>
    <row r="7579" spans="9:9" x14ac:dyDescent="0.4">
      <c r="I7579" s="1"/>
    </row>
    <row r="7582" spans="9:9" x14ac:dyDescent="0.4">
      <c r="I7582" s="1"/>
    </row>
    <row r="7583" spans="9:9" x14ac:dyDescent="0.4">
      <c r="I7583" s="1"/>
    </row>
    <row r="7588" spans="9:9" x14ac:dyDescent="0.4">
      <c r="I7588" s="1"/>
    </row>
    <row r="7591" spans="9:9" x14ac:dyDescent="0.4">
      <c r="I7591" s="1"/>
    </row>
    <row r="7593" spans="9:9" x14ac:dyDescent="0.4">
      <c r="I7593" s="1"/>
    </row>
    <row r="7604" spans="9:9" x14ac:dyDescent="0.4">
      <c r="I7604" s="1"/>
    </row>
    <row r="7607" spans="9:9" x14ac:dyDescent="0.4">
      <c r="I7607" s="1"/>
    </row>
    <row r="7609" spans="9:9" x14ac:dyDescent="0.4">
      <c r="I7609" s="1"/>
    </row>
    <row r="7615" spans="9:9" x14ac:dyDescent="0.4">
      <c r="I7615" s="1"/>
    </row>
    <row r="7618" spans="9:9" x14ac:dyDescent="0.4">
      <c r="I7618" s="1"/>
    </row>
    <row r="7622" spans="9:9" x14ac:dyDescent="0.4">
      <c r="I7622" s="1"/>
    </row>
    <row r="7624" spans="9:9" x14ac:dyDescent="0.4">
      <c r="I7624" s="1"/>
    </row>
    <row r="7626" spans="9:9" x14ac:dyDescent="0.4">
      <c r="I7626" s="1"/>
    </row>
    <row r="7642" spans="9:9" x14ac:dyDescent="0.4">
      <c r="I7642" s="1"/>
    </row>
    <row r="7643" spans="9:9" x14ac:dyDescent="0.4">
      <c r="I7643" s="1"/>
    </row>
    <row r="7649" spans="9:9" x14ac:dyDescent="0.4">
      <c r="I7649" s="1"/>
    </row>
    <row r="7654" spans="9:9" x14ac:dyDescent="0.4">
      <c r="I7654" s="1"/>
    </row>
    <row r="7657" spans="9:9" x14ac:dyDescent="0.4">
      <c r="I7657" s="1"/>
    </row>
    <row r="7659" spans="9:9" x14ac:dyDescent="0.4">
      <c r="I7659" s="1"/>
    </row>
    <row r="7671" spans="9:9" x14ac:dyDescent="0.4">
      <c r="I7671" s="1"/>
    </row>
    <row r="7683" spans="6:9" x14ac:dyDescent="0.4">
      <c r="F7683" s="1"/>
    </row>
    <row r="7684" spans="6:9" x14ac:dyDescent="0.4">
      <c r="F7684" s="1"/>
    </row>
    <row r="7685" spans="6:9" x14ac:dyDescent="0.4">
      <c r="I7685" s="1"/>
    </row>
    <row r="7690" spans="6:9" x14ac:dyDescent="0.4">
      <c r="F7690" s="1"/>
    </row>
    <row r="7696" spans="6:9" x14ac:dyDescent="0.4">
      <c r="F7696" s="1"/>
    </row>
    <row r="7697" spans="6:9" x14ac:dyDescent="0.4">
      <c r="F7697" s="1"/>
    </row>
    <row r="7699" spans="6:9" x14ac:dyDescent="0.4">
      <c r="F7699" s="1"/>
    </row>
    <row r="7700" spans="6:9" x14ac:dyDescent="0.4">
      <c r="F7700" s="1"/>
    </row>
    <row r="7708" spans="6:9" x14ac:dyDescent="0.4">
      <c r="I7708" s="1"/>
    </row>
    <row r="7709" spans="6:9" x14ac:dyDescent="0.4">
      <c r="I7709" s="1"/>
    </row>
    <row r="7716" spans="9:9" x14ac:dyDescent="0.4">
      <c r="I7716" s="1"/>
    </row>
    <row r="7722" spans="9:9" x14ac:dyDescent="0.4">
      <c r="I7722" s="1"/>
    </row>
    <row r="7726" spans="9:9" x14ac:dyDescent="0.4">
      <c r="I7726" s="1"/>
    </row>
    <row r="7728" spans="9:9" x14ac:dyDescent="0.4">
      <c r="I7728" s="1"/>
    </row>
    <row r="7732" spans="9:9" x14ac:dyDescent="0.4">
      <c r="I7732" s="1"/>
    </row>
    <row r="7734" spans="9:9" x14ac:dyDescent="0.4">
      <c r="I7734" s="1"/>
    </row>
    <row r="7735" spans="9:9" x14ac:dyDescent="0.4">
      <c r="I7735" s="1"/>
    </row>
    <row r="7736" spans="9:9" x14ac:dyDescent="0.4">
      <c r="I7736" s="1"/>
    </row>
    <row r="7739" spans="9:9" x14ac:dyDescent="0.4">
      <c r="I7739" s="1"/>
    </row>
    <row r="7741" spans="9:9" x14ac:dyDescent="0.4">
      <c r="I7741" s="1"/>
    </row>
    <row r="7749" spans="9:9" x14ac:dyDescent="0.4">
      <c r="I7749" s="1"/>
    </row>
    <row r="7754" spans="9:9" x14ac:dyDescent="0.4">
      <c r="I7754" s="1"/>
    </row>
    <row r="7759" spans="9:9" x14ac:dyDescent="0.4">
      <c r="I7759" s="1"/>
    </row>
    <row r="7762" spans="9:9" x14ac:dyDescent="0.4">
      <c r="I7762" s="1"/>
    </row>
    <row r="7782" spans="9:9" x14ac:dyDescent="0.4">
      <c r="I7782" s="1"/>
    </row>
    <row r="7791" spans="9:9" x14ac:dyDescent="0.4">
      <c r="I7791" s="1"/>
    </row>
    <row r="7792" spans="9:9" x14ac:dyDescent="0.4">
      <c r="I7792" s="1"/>
    </row>
    <row r="7794" spans="9:9" x14ac:dyDescent="0.4">
      <c r="I7794" s="1"/>
    </row>
    <row r="7816" spans="9:9" x14ac:dyDescent="0.4">
      <c r="I7816" s="1"/>
    </row>
    <row r="7838" spans="9:9" x14ac:dyDescent="0.4">
      <c r="I7838" s="1"/>
    </row>
    <row r="7842" spans="9:9" x14ac:dyDescent="0.4">
      <c r="I7842" s="1"/>
    </row>
    <row r="7843" spans="9:9" x14ac:dyDescent="0.4">
      <c r="I7843" s="1"/>
    </row>
    <row r="7847" spans="9:9" x14ac:dyDescent="0.4">
      <c r="I7847" s="1"/>
    </row>
    <row r="7849" spans="9:9" x14ac:dyDescent="0.4">
      <c r="I7849" s="1"/>
    </row>
    <row r="7852" spans="9:9" x14ac:dyDescent="0.4">
      <c r="I7852" s="1"/>
    </row>
    <row r="7853" spans="9:9" x14ac:dyDescent="0.4">
      <c r="I7853" s="1"/>
    </row>
    <row r="7855" spans="9:9" x14ac:dyDescent="0.4">
      <c r="I7855" s="1"/>
    </row>
    <row r="7858" spans="9:9" x14ac:dyDescent="0.4">
      <c r="I7858" s="1"/>
    </row>
    <row r="7861" spans="9:9" x14ac:dyDescent="0.4">
      <c r="I7861" s="1"/>
    </row>
    <row r="7863" spans="9:9" x14ac:dyDescent="0.4">
      <c r="I7863" s="1"/>
    </row>
    <row r="7864" spans="9:9" x14ac:dyDescent="0.4">
      <c r="I7864" s="1"/>
    </row>
    <row r="7865" spans="9:9" x14ac:dyDescent="0.4">
      <c r="I7865" s="1"/>
    </row>
    <row r="7870" spans="9:9" x14ac:dyDescent="0.4">
      <c r="I7870" s="1"/>
    </row>
    <row r="7874" spans="9:9" x14ac:dyDescent="0.4">
      <c r="I7874" s="1"/>
    </row>
    <row r="7875" spans="9:9" x14ac:dyDescent="0.4">
      <c r="I7875" s="1"/>
    </row>
    <row r="7881" spans="9:9" x14ac:dyDescent="0.4">
      <c r="I7881" s="1"/>
    </row>
    <row r="7884" spans="9:9" x14ac:dyDescent="0.4">
      <c r="I7884" s="1"/>
    </row>
    <row r="7892" spans="9:9" x14ac:dyDescent="0.4">
      <c r="I7892" s="1"/>
    </row>
    <row r="7897" spans="9:9" x14ac:dyDescent="0.4">
      <c r="I7897" s="1"/>
    </row>
    <row r="7898" spans="9:9" x14ac:dyDescent="0.4">
      <c r="I7898" s="1"/>
    </row>
    <row r="7899" spans="9:9" x14ac:dyDescent="0.4">
      <c r="I7899" s="1"/>
    </row>
    <row r="7902" spans="9:9" x14ac:dyDescent="0.4">
      <c r="I7902" s="1"/>
    </row>
    <row r="7905" spans="9:9" x14ac:dyDescent="0.4">
      <c r="I7905" s="1"/>
    </row>
    <row r="7907" spans="9:9" x14ac:dyDescent="0.4">
      <c r="I7907" s="1"/>
    </row>
    <row r="7913" spans="9:9" x14ac:dyDescent="0.4">
      <c r="I7913" s="1"/>
    </row>
    <row r="7920" spans="9:9" x14ac:dyDescent="0.4">
      <c r="I7920" s="1"/>
    </row>
    <row r="7923" spans="9:9" x14ac:dyDescent="0.4">
      <c r="I7923" s="1"/>
    </row>
    <row r="7928" spans="9:9" x14ac:dyDescent="0.4">
      <c r="I7928" s="1"/>
    </row>
    <row r="7936" spans="9:9" x14ac:dyDescent="0.4">
      <c r="I7936" s="1"/>
    </row>
    <row r="7937" spans="9:9" x14ac:dyDescent="0.4">
      <c r="I7937" s="1"/>
    </row>
    <row r="7938" spans="9:9" x14ac:dyDescent="0.4">
      <c r="I7938" s="1"/>
    </row>
    <row r="7949" spans="9:9" x14ac:dyDescent="0.4">
      <c r="I7949" s="1"/>
    </row>
    <row r="7959" spans="9:9" x14ac:dyDescent="0.4">
      <c r="I7959" s="1"/>
    </row>
    <row r="7960" spans="9:9" x14ac:dyDescent="0.4">
      <c r="I7960" s="1"/>
    </row>
    <row r="7961" spans="9:9" x14ac:dyDescent="0.4">
      <c r="I7961" s="1"/>
    </row>
    <row r="7963" spans="9:9" x14ac:dyDescent="0.4">
      <c r="I7963" s="1"/>
    </row>
    <row r="7970" spans="9:9" x14ac:dyDescent="0.4">
      <c r="I7970" s="1"/>
    </row>
    <row r="7972" spans="9:9" x14ac:dyDescent="0.4">
      <c r="I7972" s="1"/>
    </row>
    <row r="7975" spans="9:9" x14ac:dyDescent="0.4">
      <c r="I7975" s="1"/>
    </row>
    <row r="7979" spans="9:9" x14ac:dyDescent="0.4">
      <c r="I7979" s="1"/>
    </row>
    <row r="7981" spans="9:9" x14ac:dyDescent="0.4">
      <c r="I7981" s="1"/>
    </row>
    <row r="7985" spans="9:9" x14ac:dyDescent="0.4">
      <c r="I7985" s="1"/>
    </row>
    <row r="7988" spans="9:9" x14ac:dyDescent="0.4">
      <c r="I7988" s="1"/>
    </row>
    <row r="7993" spans="9:9" x14ac:dyDescent="0.4">
      <c r="I7993" s="1"/>
    </row>
    <row r="7999" spans="9:9" x14ac:dyDescent="0.4">
      <c r="I7999" s="1"/>
    </row>
    <row r="8003" spans="9:9" x14ac:dyDescent="0.4">
      <c r="I8003" s="1"/>
    </row>
    <row r="8004" spans="9:9" x14ac:dyDescent="0.4">
      <c r="I8004" s="1"/>
    </row>
    <row r="8006" spans="9:9" x14ac:dyDescent="0.4">
      <c r="I8006" s="1"/>
    </row>
    <row r="8007" spans="9:9" x14ac:dyDescent="0.4">
      <c r="I8007" s="1"/>
    </row>
    <row r="8008" spans="9:9" x14ac:dyDescent="0.4">
      <c r="I8008" s="1"/>
    </row>
    <row r="8015" spans="9:9" x14ac:dyDescent="0.4">
      <c r="I8015" s="1"/>
    </row>
    <row r="8025" spans="9:9" x14ac:dyDescent="0.4">
      <c r="I8025" s="1"/>
    </row>
    <row r="8026" spans="9:9" x14ac:dyDescent="0.4">
      <c r="I8026" s="1"/>
    </row>
    <row r="8032" spans="9:9" x14ac:dyDescent="0.4">
      <c r="I8032" s="1"/>
    </row>
    <row r="8034" spans="9:9" x14ac:dyDescent="0.4">
      <c r="I8034" s="1"/>
    </row>
    <row r="8037" spans="9:9" x14ac:dyDescent="0.4">
      <c r="I8037" s="1"/>
    </row>
    <row r="8042" spans="9:9" x14ac:dyDescent="0.4">
      <c r="I8042" s="1"/>
    </row>
    <row r="8045" spans="9:9" x14ac:dyDescent="0.4">
      <c r="I8045" s="1"/>
    </row>
    <row r="8048" spans="9:9" x14ac:dyDescent="0.4">
      <c r="I8048" s="1"/>
    </row>
    <row r="8049" spans="9:9" x14ac:dyDescent="0.4">
      <c r="I8049" s="1"/>
    </row>
    <row r="8054" spans="9:9" x14ac:dyDescent="0.4">
      <c r="I8054" s="1"/>
    </row>
    <row r="8063" spans="9:9" x14ac:dyDescent="0.4">
      <c r="I8063" s="1"/>
    </row>
    <row r="8065" spans="9:9" x14ac:dyDescent="0.4">
      <c r="I8065" s="1"/>
    </row>
    <row r="8070" spans="9:9" x14ac:dyDescent="0.4">
      <c r="I8070" s="1"/>
    </row>
    <row r="8071" spans="9:9" x14ac:dyDescent="0.4">
      <c r="I8071" s="1"/>
    </row>
    <row r="8086" spans="9:9" x14ac:dyDescent="0.4">
      <c r="I8086" s="1"/>
    </row>
    <row r="8087" spans="9:9" x14ac:dyDescent="0.4">
      <c r="I8087" s="1"/>
    </row>
    <row r="8089" spans="9:9" x14ac:dyDescent="0.4">
      <c r="I8089" s="1"/>
    </row>
    <row r="8092" spans="9:9" x14ac:dyDescent="0.4">
      <c r="I8092" s="1"/>
    </row>
    <row r="8094" spans="9:9" x14ac:dyDescent="0.4">
      <c r="I8094" s="1"/>
    </row>
    <row r="8111" spans="9:9" x14ac:dyDescent="0.4">
      <c r="I8111" s="1"/>
    </row>
    <row r="8132" spans="9:9" x14ac:dyDescent="0.4">
      <c r="I8132" s="1"/>
    </row>
    <row r="8146" spans="9:9" x14ac:dyDescent="0.4">
      <c r="I8146" s="1"/>
    </row>
    <row r="8148" spans="9:9" x14ac:dyDescent="0.4">
      <c r="I8148" s="1"/>
    </row>
    <row r="8149" spans="9:9" x14ac:dyDescent="0.4">
      <c r="I8149" s="1"/>
    </row>
    <row r="8156" spans="9:9" x14ac:dyDescent="0.4">
      <c r="I8156" s="1"/>
    </row>
    <row r="8158" spans="9:9" x14ac:dyDescent="0.4">
      <c r="I8158" s="1"/>
    </row>
    <row r="8163" spans="9:9" x14ac:dyDescent="0.4">
      <c r="I8163" s="1"/>
    </row>
    <row r="8167" spans="9:9" x14ac:dyDescent="0.4">
      <c r="I8167" s="1"/>
    </row>
    <row r="8168" spans="9:9" x14ac:dyDescent="0.4">
      <c r="I8168" s="1"/>
    </row>
    <row r="8169" spans="9:9" x14ac:dyDescent="0.4">
      <c r="I8169" s="1"/>
    </row>
    <row r="8170" spans="9:9" x14ac:dyDescent="0.4">
      <c r="I8170" s="1"/>
    </row>
    <row r="8171" spans="9:9" x14ac:dyDescent="0.4">
      <c r="I8171" s="1"/>
    </row>
    <row r="8174" spans="9:9" x14ac:dyDescent="0.4">
      <c r="I8174" s="1"/>
    </row>
    <row r="8176" spans="9:9" x14ac:dyDescent="0.4">
      <c r="I8176" s="1"/>
    </row>
    <row r="8178" spans="9:9" x14ac:dyDescent="0.4">
      <c r="I8178" s="1"/>
    </row>
    <row r="8179" spans="9:9" x14ac:dyDescent="0.4">
      <c r="I8179" s="1"/>
    </row>
    <row r="8186" spans="9:9" x14ac:dyDescent="0.4">
      <c r="I8186" s="1"/>
    </row>
    <row r="8187" spans="9:9" x14ac:dyDescent="0.4">
      <c r="I8187" s="1"/>
    </row>
    <row r="8190" spans="9:9" x14ac:dyDescent="0.4">
      <c r="I8190" s="1"/>
    </row>
    <row r="8192" spans="9:9" x14ac:dyDescent="0.4">
      <c r="I8192" s="1"/>
    </row>
    <row r="8193" spans="9:9" x14ac:dyDescent="0.4">
      <c r="I8193" s="1"/>
    </row>
    <row r="8196" spans="9:9" x14ac:dyDescent="0.4">
      <c r="I8196" s="1"/>
    </row>
    <row r="8198" spans="9:9" x14ac:dyDescent="0.4">
      <c r="I8198" s="1"/>
    </row>
    <row r="8205" spans="9:9" x14ac:dyDescent="0.4">
      <c r="I8205" s="1"/>
    </row>
    <row r="8206" spans="9:9" x14ac:dyDescent="0.4">
      <c r="I8206" s="1"/>
    </row>
    <row r="8216" spans="9:9" x14ac:dyDescent="0.4">
      <c r="I8216" s="1"/>
    </row>
    <row r="8218" spans="9:9" x14ac:dyDescent="0.4">
      <c r="I8218" s="1"/>
    </row>
    <row r="8223" spans="9:9" x14ac:dyDescent="0.4">
      <c r="I8223" s="1"/>
    </row>
    <row r="8228" spans="9:9" x14ac:dyDescent="0.4">
      <c r="I8228" s="1"/>
    </row>
    <row r="8231" spans="9:9" x14ac:dyDescent="0.4">
      <c r="I8231" s="1"/>
    </row>
    <row r="8241" spans="9:9" x14ac:dyDescent="0.4">
      <c r="I8241" s="1"/>
    </row>
    <row r="8244" spans="9:9" x14ac:dyDescent="0.4">
      <c r="I8244" s="1"/>
    </row>
    <row r="8245" spans="9:9" x14ac:dyDescent="0.4">
      <c r="I8245" s="1"/>
    </row>
    <row r="8248" spans="9:9" x14ac:dyDescent="0.4">
      <c r="I8248" s="1"/>
    </row>
    <row r="8249" spans="9:9" x14ac:dyDescent="0.4">
      <c r="I8249" s="1"/>
    </row>
    <row r="8250" spans="9:9" x14ac:dyDescent="0.4">
      <c r="I8250" s="1"/>
    </row>
    <row r="8253" spans="9:9" x14ac:dyDescent="0.4">
      <c r="I8253" s="1"/>
    </row>
    <row r="8255" spans="9:9" x14ac:dyDescent="0.4">
      <c r="I8255" s="1"/>
    </row>
    <row r="8259" spans="9:9" x14ac:dyDescent="0.4">
      <c r="I8259" s="1"/>
    </row>
    <row r="8261" spans="9:9" x14ac:dyDescent="0.4">
      <c r="I8261" s="1"/>
    </row>
    <row r="8265" spans="9:9" x14ac:dyDescent="0.4">
      <c r="I8265" s="1"/>
    </row>
    <row r="8266" spans="9:9" x14ac:dyDescent="0.4">
      <c r="I8266" s="1"/>
    </row>
    <row r="8270" spans="9:9" x14ac:dyDescent="0.4">
      <c r="I8270" s="1"/>
    </row>
    <row r="8271" spans="9:9" x14ac:dyDescent="0.4">
      <c r="I8271" s="1"/>
    </row>
    <row r="8272" spans="9:9" x14ac:dyDescent="0.4">
      <c r="I8272" s="1"/>
    </row>
    <row r="8273" spans="9:9" x14ac:dyDescent="0.4">
      <c r="I8273" s="1"/>
    </row>
    <row r="8274" spans="9:9" x14ac:dyDescent="0.4">
      <c r="I8274" s="1"/>
    </row>
    <row r="8278" spans="9:9" x14ac:dyDescent="0.4">
      <c r="I8278" s="1"/>
    </row>
    <row r="8281" spans="9:9" x14ac:dyDescent="0.4">
      <c r="I8281" s="1"/>
    </row>
    <row r="8285" spans="9:9" x14ac:dyDescent="0.4">
      <c r="I8285" s="1"/>
    </row>
    <row r="8286" spans="9:9" x14ac:dyDescent="0.4">
      <c r="I8286" s="1"/>
    </row>
    <row r="8288" spans="9:9" x14ac:dyDescent="0.4">
      <c r="I8288" s="1"/>
    </row>
    <row r="8290" spans="9:9" x14ac:dyDescent="0.4">
      <c r="I8290" s="1"/>
    </row>
    <row r="8295" spans="9:9" x14ac:dyDescent="0.4">
      <c r="I8295" s="1"/>
    </row>
    <row r="8299" spans="9:9" x14ac:dyDescent="0.4">
      <c r="I8299" s="1"/>
    </row>
    <row r="8309" spans="9:9" x14ac:dyDescent="0.4">
      <c r="I8309" s="1"/>
    </row>
    <row r="8316" spans="9:9" x14ac:dyDescent="0.4">
      <c r="I8316" s="1"/>
    </row>
    <row r="8318" spans="9:9" x14ac:dyDescent="0.4">
      <c r="I8318" s="1"/>
    </row>
    <row r="8323" spans="9:9" x14ac:dyDescent="0.4">
      <c r="I8323" s="1"/>
    </row>
    <row r="8328" spans="9:9" x14ac:dyDescent="0.4">
      <c r="I8328" s="1"/>
    </row>
    <row r="8335" spans="9:9" x14ac:dyDescent="0.4">
      <c r="I8335" s="1"/>
    </row>
    <row r="8337" spans="9:9" x14ac:dyDescent="0.4">
      <c r="I8337" s="1"/>
    </row>
    <row r="8348" spans="9:9" x14ac:dyDescent="0.4">
      <c r="I8348" s="1"/>
    </row>
    <row r="8351" spans="9:9" x14ac:dyDescent="0.4">
      <c r="I8351" s="1"/>
    </row>
    <row r="8358" spans="9:9" x14ac:dyDescent="0.4">
      <c r="I8358" s="1"/>
    </row>
    <row r="8361" spans="9:9" x14ac:dyDescent="0.4">
      <c r="I8361" s="1"/>
    </row>
    <row r="8367" spans="9:9" x14ac:dyDescent="0.4">
      <c r="I8367" s="1"/>
    </row>
    <row r="8373" spans="9:9" x14ac:dyDescent="0.4">
      <c r="I8373" s="1"/>
    </row>
    <row r="8376" spans="9:9" x14ac:dyDescent="0.4">
      <c r="I8376" s="1"/>
    </row>
    <row r="8377" spans="9:9" x14ac:dyDescent="0.4">
      <c r="I8377" s="1"/>
    </row>
    <row r="8383" spans="9:9" x14ac:dyDescent="0.4">
      <c r="I8383" s="1"/>
    </row>
    <row r="8389" spans="9:9" x14ac:dyDescent="0.4">
      <c r="I8389" s="1"/>
    </row>
    <row r="8400" spans="9:9" x14ac:dyDescent="0.4">
      <c r="I8400" s="1"/>
    </row>
    <row r="8406" spans="6:9" x14ac:dyDescent="0.4">
      <c r="I8406" s="1"/>
    </row>
    <row r="8413" spans="6:9" x14ac:dyDescent="0.4">
      <c r="F8413" s="1"/>
    </row>
    <row r="8415" spans="6:9" x14ac:dyDescent="0.4">
      <c r="I8415" s="1"/>
    </row>
    <row r="8417" spans="9:9" x14ac:dyDescent="0.4">
      <c r="I8417" s="1"/>
    </row>
    <row r="8437" spans="6:9" x14ac:dyDescent="0.4">
      <c r="I8437" s="1"/>
    </row>
    <row r="8441" spans="6:9" x14ac:dyDescent="0.4">
      <c r="F8441" s="1"/>
    </row>
    <row r="8473" spans="6:6" x14ac:dyDescent="0.4">
      <c r="F8473" s="1"/>
    </row>
    <row r="8481" spans="9:9" x14ac:dyDescent="0.4">
      <c r="I8481" s="1"/>
    </row>
    <row r="8490" spans="9:9" x14ac:dyDescent="0.4">
      <c r="I8490" s="1"/>
    </row>
    <row r="8504" spans="9:9" x14ac:dyDescent="0.4">
      <c r="I8504" s="1"/>
    </row>
    <row r="8520" spans="9:9" x14ac:dyDescent="0.4">
      <c r="I8520" s="1"/>
    </row>
    <row r="8522" spans="9:9" x14ac:dyDescent="0.4">
      <c r="I8522" s="1"/>
    </row>
    <row r="8524" spans="9:9" x14ac:dyDescent="0.4">
      <c r="I8524" s="1"/>
    </row>
    <row r="8533" spans="9:9" x14ac:dyDescent="0.4">
      <c r="I8533" s="1"/>
    </row>
    <row r="8540" spans="9:9" x14ac:dyDescent="0.4">
      <c r="I8540" s="1"/>
    </row>
    <row r="8541" spans="9:9" x14ac:dyDescent="0.4">
      <c r="I8541" s="1"/>
    </row>
    <row r="8558" spans="9:9" x14ac:dyDescent="0.4">
      <c r="I8558" s="1"/>
    </row>
    <row r="8560" spans="9:9" x14ac:dyDescent="0.4">
      <c r="I8560" s="1"/>
    </row>
    <row r="8565" spans="9:9" x14ac:dyDescent="0.4">
      <c r="I8565" s="1"/>
    </row>
    <row r="8567" spans="9:9" x14ac:dyDescent="0.4">
      <c r="I8567" s="1"/>
    </row>
    <row r="8585" spans="9:9" x14ac:dyDescent="0.4">
      <c r="I8585" s="1"/>
    </row>
    <row r="8588" spans="9:9" x14ac:dyDescent="0.4">
      <c r="I8588" s="1"/>
    </row>
    <row r="8591" spans="9:9" x14ac:dyDescent="0.4">
      <c r="I8591" s="1"/>
    </row>
    <row r="8606" spans="9:9" x14ac:dyDescent="0.4">
      <c r="I8606" s="1"/>
    </row>
    <row r="8607" spans="9:9" x14ac:dyDescent="0.4">
      <c r="I8607" s="1"/>
    </row>
    <row r="8617" spans="9:9" x14ac:dyDescent="0.4">
      <c r="I8617" s="1"/>
    </row>
    <row r="8623" spans="9:9" x14ac:dyDescent="0.4">
      <c r="I8623" s="1"/>
    </row>
    <row r="8627" spans="9:9" x14ac:dyDescent="0.4">
      <c r="I8627" s="1"/>
    </row>
    <row r="8639" spans="9:9" x14ac:dyDescent="0.4">
      <c r="I8639" s="1"/>
    </row>
    <row r="8646" spans="9:9" x14ac:dyDescent="0.4">
      <c r="I8646" s="1"/>
    </row>
    <row r="8650" spans="9:9" x14ac:dyDescent="0.4">
      <c r="I8650" s="1"/>
    </row>
    <row r="8653" spans="9:9" x14ac:dyDescent="0.4">
      <c r="I8653" s="1"/>
    </row>
    <row r="8655" spans="9:9" x14ac:dyDescent="0.4">
      <c r="I8655" s="1"/>
    </row>
    <row r="8660" spans="9:9" x14ac:dyDescent="0.4">
      <c r="I8660" s="1"/>
    </row>
    <row r="8661" spans="9:9" x14ac:dyDescent="0.4">
      <c r="I8661" s="1"/>
    </row>
    <row r="8662" spans="9:9" x14ac:dyDescent="0.4">
      <c r="I8662" s="1"/>
    </row>
    <row r="8665" spans="9:9" x14ac:dyDescent="0.4">
      <c r="I8665" s="1"/>
    </row>
    <row r="8682" spans="9:9" x14ac:dyDescent="0.4">
      <c r="I8682" s="1"/>
    </row>
    <row r="8691" spans="9:9" x14ac:dyDescent="0.4">
      <c r="I8691" s="1"/>
    </row>
    <row r="8705" spans="9:9" x14ac:dyDescent="0.4">
      <c r="I8705" s="1"/>
    </row>
    <row r="8707" spans="9:9" x14ac:dyDescent="0.4">
      <c r="I8707" s="1"/>
    </row>
    <row r="8709" spans="9:9" x14ac:dyDescent="0.4">
      <c r="I8709" s="1"/>
    </row>
    <row r="8720" spans="9:9" x14ac:dyDescent="0.4">
      <c r="I8720" s="1"/>
    </row>
    <row r="8725" spans="9:9" x14ac:dyDescent="0.4">
      <c r="I8725" s="1"/>
    </row>
    <row r="8727" spans="9:9" x14ac:dyDescent="0.4">
      <c r="I8727" s="1"/>
    </row>
    <row r="8728" spans="9:9" x14ac:dyDescent="0.4">
      <c r="I8728" s="1"/>
    </row>
    <row r="8729" spans="9:9" x14ac:dyDescent="0.4">
      <c r="I8729" s="1"/>
    </row>
    <row r="8738" spans="9:9" x14ac:dyDescent="0.4">
      <c r="I8738" s="1"/>
    </row>
    <row r="8744" spans="9:9" x14ac:dyDescent="0.4">
      <c r="I8744" s="1"/>
    </row>
    <row r="8745" spans="9:9" x14ac:dyDescent="0.4">
      <c r="I8745" s="1"/>
    </row>
    <row r="8747" spans="9:9" x14ac:dyDescent="0.4">
      <c r="I8747" s="1"/>
    </row>
    <row r="8750" spans="9:9" x14ac:dyDescent="0.4">
      <c r="I8750" s="1"/>
    </row>
    <row r="8751" spans="9:9" x14ac:dyDescent="0.4">
      <c r="I8751" s="1"/>
    </row>
    <row r="8754" spans="9:9" x14ac:dyDescent="0.4">
      <c r="I8754" s="1"/>
    </row>
    <row r="8772" spans="9:9" x14ac:dyDescent="0.4">
      <c r="I8772" s="1"/>
    </row>
    <row r="8774" spans="9:9" x14ac:dyDescent="0.4">
      <c r="I8774" s="1"/>
    </row>
    <row r="8777" spans="9:9" x14ac:dyDescent="0.4">
      <c r="I8777" s="1"/>
    </row>
    <row r="8782" spans="9:9" x14ac:dyDescent="0.4">
      <c r="I8782" s="1"/>
    </row>
    <row r="8790" spans="9:9" x14ac:dyDescent="0.4">
      <c r="I8790" s="1"/>
    </row>
    <row r="8793" spans="9:9" x14ac:dyDescent="0.4">
      <c r="I8793" s="1"/>
    </row>
    <row r="8795" spans="9:9" x14ac:dyDescent="0.4">
      <c r="I8795" s="1"/>
    </row>
    <row r="8797" spans="9:9" x14ac:dyDescent="0.4">
      <c r="I8797" s="1"/>
    </row>
    <row r="8804" spans="9:9" x14ac:dyDescent="0.4">
      <c r="I8804" s="1"/>
    </row>
    <row r="8813" spans="9:9" x14ac:dyDescent="0.4">
      <c r="I8813" s="1"/>
    </row>
    <row r="8814" spans="9:9" x14ac:dyDescent="0.4">
      <c r="I8814" s="1"/>
    </row>
    <row r="8816" spans="9:9" x14ac:dyDescent="0.4">
      <c r="I8816" s="1"/>
    </row>
    <row r="8821" spans="9:9" x14ac:dyDescent="0.4">
      <c r="I8821" s="1"/>
    </row>
    <row r="8828" spans="9:9" x14ac:dyDescent="0.4">
      <c r="I8828" s="1"/>
    </row>
    <row r="8829" spans="9:9" x14ac:dyDescent="0.4">
      <c r="I8829" s="1"/>
    </row>
    <row r="8830" spans="9:9" x14ac:dyDescent="0.4">
      <c r="I8830" s="1"/>
    </row>
    <row r="8835" spans="9:9" x14ac:dyDescent="0.4">
      <c r="I8835" s="1"/>
    </row>
    <row r="8837" spans="9:9" x14ac:dyDescent="0.4">
      <c r="I8837" s="1"/>
    </row>
    <row r="8840" spans="9:9" x14ac:dyDescent="0.4">
      <c r="I8840" s="1"/>
    </row>
    <row r="8843" spans="9:9" x14ac:dyDescent="0.4">
      <c r="I8843" s="1"/>
    </row>
    <row r="8845" spans="9:9" x14ac:dyDescent="0.4">
      <c r="I8845" s="1"/>
    </row>
    <row r="8846" spans="9:9" x14ac:dyDescent="0.4">
      <c r="I8846" s="1"/>
    </row>
    <row r="8853" spans="9:9" x14ac:dyDescent="0.4">
      <c r="I8853" s="1"/>
    </row>
    <row r="8857" spans="9:9" x14ac:dyDescent="0.4">
      <c r="I8857" s="1"/>
    </row>
    <row r="8860" spans="9:9" x14ac:dyDescent="0.4">
      <c r="I8860" s="1"/>
    </row>
    <row r="8866" spans="9:9" x14ac:dyDescent="0.4">
      <c r="I8866" s="1"/>
    </row>
    <row r="8867" spans="9:9" x14ac:dyDescent="0.4">
      <c r="I8867" s="1"/>
    </row>
    <row r="8873" spans="9:9" x14ac:dyDescent="0.4">
      <c r="I8873" s="1"/>
    </row>
    <row r="8876" spans="9:9" x14ac:dyDescent="0.4">
      <c r="I8876" s="1"/>
    </row>
    <row r="8881" spans="9:9" x14ac:dyDescent="0.4">
      <c r="I8881" s="1"/>
    </row>
    <row r="8882" spans="9:9" x14ac:dyDescent="0.4">
      <c r="I8882" s="1"/>
    </row>
    <row r="8883" spans="9:9" x14ac:dyDescent="0.4">
      <c r="I8883" s="1"/>
    </row>
    <row r="8884" spans="9:9" x14ac:dyDescent="0.4">
      <c r="I8884" s="1"/>
    </row>
    <row r="8891" spans="9:9" x14ac:dyDescent="0.4">
      <c r="I8891" s="1"/>
    </row>
    <row r="8895" spans="9:9" x14ac:dyDescent="0.4">
      <c r="I8895" s="1"/>
    </row>
    <row r="8900" spans="9:9" x14ac:dyDescent="0.4">
      <c r="I8900" s="1"/>
    </row>
    <row r="8901" spans="9:9" x14ac:dyDescent="0.4">
      <c r="I8901" s="1"/>
    </row>
    <row r="8906" spans="9:9" x14ac:dyDescent="0.4">
      <c r="I8906" s="1"/>
    </row>
    <row r="8913" spans="9:9" x14ac:dyDescent="0.4">
      <c r="I8913" s="1"/>
    </row>
    <row r="8914" spans="9:9" x14ac:dyDescent="0.4">
      <c r="I8914" s="1"/>
    </row>
    <row r="8922" spans="9:9" x14ac:dyDescent="0.4">
      <c r="I8922" s="1"/>
    </row>
    <row r="8923" spans="9:9" x14ac:dyDescent="0.4">
      <c r="I8923" s="1"/>
    </row>
    <row r="8924" spans="9:9" x14ac:dyDescent="0.4">
      <c r="I8924" s="1"/>
    </row>
    <row r="8926" spans="9:9" x14ac:dyDescent="0.4">
      <c r="I8926" s="1"/>
    </row>
    <row r="8927" spans="9:9" x14ac:dyDescent="0.4">
      <c r="I8927" s="1"/>
    </row>
    <row r="8929" spans="9:9" x14ac:dyDescent="0.4">
      <c r="I8929" s="1"/>
    </row>
    <row r="8934" spans="9:9" x14ac:dyDescent="0.4">
      <c r="I8934" s="1"/>
    </row>
    <row r="8938" spans="9:9" x14ac:dyDescent="0.4">
      <c r="I8938" s="1"/>
    </row>
    <row r="8940" spans="9:9" x14ac:dyDescent="0.4">
      <c r="I8940" s="1"/>
    </row>
    <row r="8942" spans="9:9" x14ac:dyDescent="0.4">
      <c r="I8942" s="1"/>
    </row>
    <row r="8943" spans="9:9" x14ac:dyDescent="0.4">
      <c r="I8943" s="1"/>
    </row>
    <row r="8947" spans="6:9" x14ac:dyDescent="0.4">
      <c r="I8947" s="1"/>
    </row>
    <row r="8950" spans="6:9" x14ac:dyDescent="0.4">
      <c r="I8950" s="1"/>
    </row>
    <row r="8951" spans="6:9" x14ac:dyDescent="0.4">
      <c r="I8951" s="1"/>
    </row>
    <row r="8956" spans="6:9" x14ac:dyDescent="0.4">
      <c r="F8956" s="1"/>
    </row>
    <row r="8957" spans="6:9" x14ac:dyDescent="0.4">
      <c r="I8957" s="1"/>
    </row>
    <row r="8959" spans="6:9" x14ac:dyDescent="0.4">
      <c r="I8959" s="1"/>
    </row>
    <row r="8961" spans="9:9" x14ac:dyDescent="0.4">
      <c r="I8961" s="1"/>
    </row>
    <row r="8965" spans="9:9" x14ac:dyDescent="0.4">
      <c r="I8965" s="1"/>
    </row>
    <row r="8969" spans="9:9" x14ac:dyDescent="0.4">
      <c r="I8969" s="1"/>
    </row>
    <row r="8974" spans="9:9" x14ac:dyDescent="0.4">
      <c r="I8974" s="1"/>
    </row>
    <row r="8976" spans="9:9" x14ac:dyDescent="0.4">
      <c r="I8976" s="1"/>
    </row>
    <row r="8978" spans="9:9" x14ac:dyDescent="0.4">
      <c r="I8978" s="1"/>
    </row>
    <row r="8979" spans="9:9" x14ac:dyDescent="0.4">
      <c r="I8979" s="1"/>
    </row>
    <row r="8982" spans="9:9" x14ac:dyDescent="0.4">
      <c r="I8982" s="1"/>
    </row>
    <row r="8983" spans="9:9" x14ac:dyDescent="0.4">
      <c r="I8983" s="1"/>
    </row>
    <row r="8990" spans="9:9" x14ac:dyDescent="0.4">
      <c r="I8990" s="1"/>
    </row>
    <row r="8991" spans="9:9" x14ac:dyDescent="0.4">
      <c r="I8991" s="1"/>
    </row>
    <row r="8995" spans="6:9" x14ac:dyDescent="0.4">
      <c r="F8995" s="1"/>
    </row>
    <row r="9002" spans="6:9" x14ac:dyDescent="0.4">
      <c r="I9002" s="1"/>
    </row>
    <row r="9005" spans="6:9" x14ac:dyDescent="0.4">
      <c r="I9005" s="1"/>
    </row>
    <row r="9006" spans="6:9" x14ac:dyDescent="0.4">
      <c r="I9006" s="1"/>
    </row>
    <row r="9011" spans="9:9" x14ac:dyDescent="0.4">
      <c r="I9011" s="1"/>
    </row>
    <row r="9016" spans="9:9" x14ac:dyDescent="0.4">
      <c r="I9016" s="1"/>
    </row>
    <row r="9019" spans="9:9" x14ac:dyDescent="0.4">
      <c r="I9019" s="1"/>
    </row>
    <row r="9020" spans="9:9" x14ac:dyDescent="0.4">
      <c r="I9020" s="1"/>
    </row>
    <row r="9026" spans="6:9" x14ac:dyDescent="0.4">
      <c r="F9026" s="1"/>
    </row>
    <row r="9033" spans="6:9" x14ac:dyDescent="0.4">
      <c r="I9033" s="1"/>
    </row>
    <row r="9035" spans="6:9" x14ac:dyDescent="0.4">
      <c r="I9035" s="1"/>
    </row>
    <row r="9037" spans="6:9" x14ac:dyDescent="0.4">
      <c r="F9037" s="1"/>
    </row>
    <row r="9050" spans="6:6" x14ac:dyDescent="0.4">
      <c r="F9050" s="1"/>
    </row>
    <row r="9058" spans="9:9" x14ac:dyDescent="0.4">
      <c r="I9058" s="1"/>
    </row>
    <row r="9061" spans="9:9" x14ac:dyDescent="0.4">
      <c r="I9061" s="1"/>
    </row>
    <row r="9079" spans="9:9" x14ac:dyDescent="0.4">
      <c r="I9079" s="1"/>
    </row>
    <row r="9083" spans="9:9" x14ac:dyDescent="0.4">
      <c r="I9083" s="1"/>
    </row>
    <row r="9084" spans="9:9" x14ac:dyDescent="0.4">
      <c r="I9084" s="1"/>
    </row>
    <row r="9085" spans="9:9" x14ac:dyDescent="0.4">
      <c r="I9085" s="1"/>
    </row>
    <row r="9087" spans="9:9" x14ac:dyDescent="0.4">
      <c r="I9087" s="1"/>
    </row>
    <row r="9089" spans="9:9" x14ac:dyDescent="0.4">
      <c r="I9089" s="1"/>
    </row>
    <row r="9099" spans="9:9" x14ac:dyDescent="0.4">
      <c r="I9099" s="1"/>
    </row>
    <row r="9100" spans="9:9" x14ac:dyDescent="0.4">
      <c r="I9100" s="1"/>
    </row>
    <row r="9104" spans="9:9" x14ac:dyDescent="0.4">
      <c r="I9104" s="1"/>
    </row>
    <row r="9105" spans="9:9" x14ac:dyDescent="0.4">
      <c r="I9105" s="1"/>
    </row>
    <row r="9106" spans="9:9" x14ac:dyDescent="0.4">
      <c r="I9106" s="1"/>
    </row>
    <row r="9110" spans="9:9" x14ac:dyDescent="0.4">
      <c r="I9110" s="1"/>
    </row>
    <row r="9111" spans="9:9" x14ac:dyDescent="0.4">
      <c r="I9111" s="1"/>
    </row>
    <row r="9112" spans="9:9" x14ac:dyDescent="0.4">
      <c r="I9112" s="1"/>
    </row>
    <row r="9117" spans="9:9" x14ac:dyDescent="0.4">
      <c r="I9117" s="1"/>
    </row>
    <row r="9119" spans="9:9" x14ac:dyDescent="0.4">
      <c r="I9119" s="1"/>
    </row>
    <row r="9127" spans="9:9" x14ac:dyDescent="0.4">
      <c r="I9127" s="1"/>
    </row>
    <row r="9130" spans="9:9" x14ac:dyDescent="0.4">
      <c r="I9130" s="1"/>
    </row>
    <row r="9131" spans="9:9" x14ac:dyDescent="0.4">
      <c r="I9131" s="1"/>
    </row>
    <row r="9133" spans="9:9" x14ac:dyDescent="0.4">
      <c r="I9133" s="1"/>
    </row>
    <row r="9134" spans="9:9" x14ac:dyDescent="0.4">
      <c r="I9134" s="1"/>
    </row>
    <row r="9135" spans="9:9" x14ac:dyDescent="0.4">
      <c r="I9135" s="1"/>
    </row>
    <row r="9137" spans="9:9" x14ac:dyDescent="0.4">
      <c r="I9137" s="1"/>
    </row>
    <row r="9147" spans="9:9" x14ac:dyDescent="0.4">
      <c r="I9147" s="1"/>
    </row>
    <row r="9151" spans="9:9" x14ac:dyDescent="0.4">
      <c r="I9151" s="1"/>
    </row>
    <row r="9152" spans="9:9" x14ac:dyDescent="0.4">
      <c r="I9152" s="1"/>
    </row>
    <row r="9157" spans="9:9" x14ac:dyDescent="0.4">
      <c r="I9157" s="1"/>
    </row>
    <row r="9162" spans="9:9" x14ac:dyDescent="0.4">
      <c r="I9162" s="1"/>
    </row>
    <row r="9170" spans="9:9" x14ac:dyDescent="0.4">
      <c r="I9170" s="1"/>
    </row>
    <row r="9171" spans="9:9" x14ac:dyDescent="0.4">
      <c r="I9171" s="1"/>
    </row>
    <row r="9174" spans="9:9" x14ac:dyDescent="0.4">
      <c r="I9174" s="1"/>
    </row>
    <row r="9181" spans="9:9" x14ac:dyDescent="0.4">
      <c r="I9181" s="1"/>
    </row>
    <row r="9187" spans="9:9" x14ac:dyDescent="0.4">
      <c r="I9187" s="1"/>
    </row>
    <row r="9188" spans="9:9" x14ac:dyDescent="0.4">
      <c r="I9188" s="1"/>
    </row>
    <row r="9191" spans="9:9" x14ac:dyDescent="0.4">
      <c r="I9191" s="1"/>
    </row>
    <row r="9203" spans="9:9" x14ac:dyDescent="0.4">
      <c r="I9203" s="1"/>
    </row>
    <row r="9208" spans="9:9" x14ac:dyDescent="0.4">
      <c r="I9208" s="1"/>
    </row>
    <row r="9217" spans="9:9" x14ac:dyDescent="0.4">
      <c r="I9217" s="1"/>
    </row>
    <row r="9218" spans="9:9" x14ac:dyDescent="0.4">
      <c r="I9218" s="1"/>
    </row>
    <row r="9219" spans="9:9" x14ac:dyDescent="0.4">
      <c r="I9219" s="1"/>
    </row>
    <row r="9223" spans="9:9" x14ac:dyDescent="0.4">
      <c r="I9223" s="1"/>
    </row>
    <row r="9236" spans="9:9" x14ac:dyDescent="0.4">
      <c r="I9236" s="1"/>
    </row>
    <row r="9243" spans="9:9" x14ac:dyDescent="0.4">
      <c r="I9243" s="1"/>
    </row>
    <row r="9244" spans="9:9" x14ac:dyDescent="0.4">
      <c r="I9244" s="1"/>
    </row>
    <row r="9254" spans="9:9" x14ac:dyDescent="0.4">
      <c r="I9254" s="1"/>
    </row>
    <row r="9257" spans="9:9" x14ac:dyDescent="0.4">
      <c r="I9257" s="1"/>
    </row>
    <row r="9259" spans="9:9" x14ac:dyDescent="0.4">
      <c r="I9259" s="1"/>
    </row>
    <row r="9265" spans="9:9" x14ac:dyDescent="0.4">
      <c r="I9265" s="1"/>
    </row>
    <row r="9267" spans="9:9" x14ac:dyDescent="0.4">
      <c r="I9267" s="1"/>
    </row>
    <row r="9269" spans="9:9" x14ac:dyDescent="0.4">
      <c r="I9269" s="1"/>
    </row>
    <row r="9275" spans="9:9" x14ac:dyDescent="0.4">
      <c r="I9275" s="1"/>
    </row>
    <row r="9277" spans="9:9" x14ac:dyDescent="0.4">
      <c r="I9277" s="1"/>
    </row>
    <row r="9278" spans="9:9" x14ac:dyDescent="0.4">
      <c r="I9278" s="1"/>
    </row>
    <row r="9289" spans="6:9" x14ac:dyDescent="0.4">
      <c r="I9289" s="1"/>
    </row>
    <row r="9294" spans="6:9" x14ac:dyDescent="0.4">
      <c r="F9294" s="1"/>
    </row>
    <row r="9301" spans="6:9" x14ac:dyDescent="0.4">
      <c r="F9301" s="1"/>
    </row>
    <row r="9305" spans="6:9" x14ac:dyDescent="0.4">
      <c r="I9305" s="1"/>
    </row>
    <row r="9307" spans="6:9" x14ac:dyDescent="0.4">
      <c r="I9307" s="1"/>
    </row>
    <row r="9312" spans="6:9" x14ac:dyDescent="0.4">
      <c r="I9312" s="1"/>
    </row>
    <row r="9317" spans="9:9" x14ac:dyDescent="0.4">
      <c r="I9317" s="1"/>
    </row>
    <row r="9319" spans="9:9" x14ac:dyDescent="0.4">
      <c r="I9319" s="1"/>
    </row>
    <row r="9324" spans="9:9" x14ac:dyDescent="0.4">
      <c r="I9324" s="1"/>
    </row>
    <row r="9326" spans="9:9" x14ac:dyDescent="0.4">
      <c r="I9326" s="1"/>
    </row>
    <row r="9329" spans="9:9" x14ac:dyDescent="0.4">
      <c r="I9329" s="1"/>
    </row>
    <row r="9330" spans="9:9" x14ac:dyDescent="0.4">
      <c r="I9330" s="1"/>
    </row>
    <row r="9334" spans="9:9" x14ac:dyDescent="0.4">
      <c r="I9334" s="1"/>
    </row>
    <row r="9341" spans="9:9" x14ac:dyDescent="0.4">
      <c r="I9341" s="1"/>
    </row>
    <row r="9342" spans="9:9" x14ac:dyDescent="0.4">
      <c r="I9342" s="1"/>
    </row>
    <row r="9343" spans="9:9" x14ac:dyDescent="0.4">
      <c r="I9343" s="1"/>
    </row>
    <row r="9346" spans="9:9" x14ac:dyDescent="0.4">
      <c r="I9346" s="1"/>
    </row>
    <row r="9349" spans="9:9" x14ac:dyDescent="0.4">
      <c r="I9349" s="1"/>
    </row>
    <row r="9354" spans="9:9" x14ac:dyDescent="0.4">
      <c r="I9354" s="1"/>
    </row>
    <row r="9355" spans="9:9" x14ac:dyDescent="0.4">
      <c r="I9355" s="1"/>
    </row>
    <row r="9356" spans="9:9" x14ac:dyDescent="0.4">
      <c r="I9356" s="1"/>
    </row>
    <row r="9360" spans="9:9" x14ac:dyDescent="0.4">
      <c r="I9360" s="1"/>
    </row>
    <row r="9361" spans="9:9" x14ac:dyDescent="0.4">
      <c r="I9361" s="1"/>
    </row>
    <row r="9364" spans="9:9" x14ac:dyDescent="0.4">
      <c r="I9364" s="1"/>
    </row>
    <row r="9365" spans="9:9" x14ac:dyDescent="0.4">
      <c r="I9365" s="1"/>
    </row>
    <row r="9371" spans="9:9" x14ac:dyDescent="0.4">
      <c r="I9371" s="1"/>
    </row>
    <row r="9372" spans="9:9" x14ac:dyDescent="0.4">
      <c r="I9372" s="1"/>
    </row>
    <row r="9374" spans="9:9" x14ac:dyDescent="0.4">
      <c r="I9374" s="1"/>
    </row>
    <row r="9375" spans="9:9" x14ac:dyDescent="0.4">
      <c r="I9375" s="1"/>
    </row>
    <row r="9377" spans="9:9" x14ac:dyDescent="0.4">
      <c r="I9377" s="1"/>
    </row>
    <row r="9389" spans="9:9" x14ac:dyDescent="0.4">
      <c r="I9389" s="1"/>
    </row>
    <row r="9391" spans="9:9" x14ac:dyDescent="0.4">
      <c r="I9391" s="1"/>
    </row>
    <row r="9393" spans="9:9" x14ac:dyDescent="0.4">
      <c r="I9393" s="1"/>
    </row>
    <row r="9400" spans="9:9" x14ac:dyDescent="0.4">
      <c r="I9400" s="1"/>
    </row>
    <row r="9404" spans="9:9" x14ac:dyDescent="0.4">
      <c r="I9404" s="1"/>
    </row>
    <row r="9406" spans="9:9" x14ac:dyDescent="0.4">
      <c r="I9406" s="1"/>
    </row>
    <row r="9408" spans="9:9" x14ac:dyDescent="0.4">
      <c r="I9408" s="1"/>
    </row>
    <row r="9409" spans="9:9" x14ac:dyDescent="0.4">
      <c r="I9409" s="1"/>
    </row>
    <row r="9411" spans="9:9" x14ac:dyDescent="0.4">
      <c r="I9411" s="1"/>
    </row>
    <row r="9413" spans="9:9" x14ac:dyDescent="0.4">
      <c r="I9413" s="1"/>
    </row>
    <row r="9414" spans="9:9" x14ac:dyDescent="0.4">
      <c r="I9414" s="1"/>
    </row>
    <row r="9415" spans="9:9" x14ac:dyDescent="0.4">
      <c r="I9415" s="1"/>
    </row>
    <row r="9421" spans="9:9" x14ac:dyDescent="0.4">
      <c r="I9421" s="1"/>
    </row>
    <row r="9426" spans="9:9" x14ac:dyDescent="0.4">
      <c r="I9426" s="1"/>
    </row>
    <row r="9427" spans="9:9" x14ac:dyDescent="0.4">
      <c r="I9427" s="1"/>
    </row>
    <row r="9430" spans="9:9" x14ac:dyDescent="0.4">
      <c r="I9430" s="1"/>
    </row>
    <row r="9436" spans="9:9" x14ac:dyDescent="0.4">
      <c r="I9436" s="1"/>
    </row>
    <row r="9440" spans="9:9" x14ac:dyDescent="0.4">
      <c r="I9440" s="1"/>
    </row>
    <row r="9442" spans="9:9" x14ac:dyDescent="0.4">
      <c r="I9442" s="1"/>
    </row>
    <row r="9445" spans="9:9" x14ac:dyDescent="0.4">
      <c r="I9445" s="1"/>
    </row>
    <row r="9447" spans="9:9" x14ac:dyDescent="0.4">
      <c r="I9447" s="1"/>
    </row>
    <row r="9450" spans="9:9" x14ac:dyDescent="0.4">
      <c r="I9450" s="1"/>
    </row>
    <row r="9458" spans="9:9" x14ac:dyDescent="0.4">
      <c r="I9458" s="1"/>
    </row>
    <row r="9466" spans="9:9" x14ac:dyDescent="0.4">
      <c r="I9466" s="1"/>
    </row>
    <row r="9468" spans="9:9" x14ac:dyDescent="0.4">
      <c r="I9468" s="1"/>
    </row>
    <row r="9472" spans="9:9" x14ac:dyDescent="0.4">
      <c r="I9472" s="1"/>
    </row>
    <row r="9473" spans="9:9" x14ac:dyDescent="0.4">
      <c r="I9473" s="1"/>
    </row>
    <row r="9482" spans="9:9" x14ac:dyDescent="0.4">
      <c r="I9482" s="1"/>
    </row>
    <row r="9489" spans="6:9" x14ac:dyDescent="0.4">
      <c r="I9489" s="1"/>
    </row>
    <row r="9493" spans="6:9" x14ac:dyDescent="0.4">
      <c r="I9493" s="1"/>
    </row>
    <row r="9494" spans="6:9" x14ac:dyDescent="0.4">
      <c r="F9494" s="1"/>
    </row>
    <row r="9495" spans="6:9" x14ac:dyDescent="0.4">
      <c r="I9495" s="1"/>
    </row>
    <row r="9496" spans="6:9" x14ac:dyDescent="0.4">
      <c r="I9496" s="1"/>
    </row>
    <row r="9498" spans="6:9" x14ac:dyDescent="0.4">
      <c r="I9498" s="1"/>
    </row>
    <row r="9503" spans="6:9" x14ac:dyDescent="0.4">
      <c r="I9503" s="1"/>
    </row>
    <row r="9511" spans="9:9" x14ac:dyDescent="0.4">
      <c r="I9511" s="1"/>
    </row>
    <row r="9514" spans="9:9" x14ac:dyDescent="0.4">
      <c r="I9514" s="1"/>
    </row>
    <row r="9516" spans="9:9" x14ac:dyDescent="0.4">
      <c r="I9516" s="1"/>
    </row>
    <row r="9517" spans="9:9" x14ac:dyDescent="0.4">
      <c r="I9517" s="1"/>
    </row>
    <row r="9518" spans="9:9" x14ac:dyDescent="0.4">
      <c r="I9518" s="1"/>
    </row>
    <row r="9519" spans="9:9" x14ac:dyDescent="0.4">
      <c r="I9519" s="1"/>
    </row>
    <row r="9529" spans="9:9" x14ac:dyDescent="0.4">
      <c r="I9529" s="1"/>
    </row>
    <row r="9530" spans="9:9" x14ac:dyDescent="0.4">
      <c r="I9530" s="1"/>
    </row>
    <row r="9532" spans="9:9" x14ac:dyDescent="0.4">
      <c r="I9532" s="1"/>
    </row>
    <row r="9535" spans="9:9" x14ac:dyDescent="0.4">
      <c r="I9535" s="1"/>
    </row>
    <row r="9542" spans="9:9" x14ac:dyDescent="0.4">
      <c r="I9542" s="1"/>
    </row>
    <row r="9545" spans="9:9" x14ac:dyDescent="0.4">
      <c r="I9545" s="1"/>
    </row>
    <row r="9550" spans="9:9" x14ac:dyDescent="0.4">
      <c r="I9550" s="1"/>
    </row>
    <row r="9555" spans="9:9" x14ac:dyDescent="0.4">
      <c r="I9555" s="1"/>
    </row>
    <row r="9557" spans="9:9" x14ac:dyDescent="0.4">
      <c r="I9557" s="1"/>
    </row>
    <row r="9562" spans="9:9" x14ac:dyDescent="0.4">
      <c r="I9562" s="1"/>
    </row>
    <row r="9588" spans="9:9" x14ac:dyDescent="0.4">
      <c r="I9588" s="1"/>
    </row>
    <row r="9592" spans="9:9" x14ac:dyDescent="0.4">
      <c r="I9592" s="1"/>
    </row>
    <row r="9599" spans="9:9" x14ac:dyDescent="0.4">
      <c r="I9599" s="1"/>
    </row>
    <row r="9605" spans="9:9" x14ac:dyDescent="0.4">
      <c r="I9605" s="1"/>
    </row>
    <row r="9612" spans="9:9" x14ac:dyDescent="0.4">
      <c r="I9612" s="1"/>
    </row>
    <row r="9628" spans="6:9" x14ac:dyDescent="0.4">
      <c r="F9628" s="1"/>
      <c r="I9628" s="1"/>
    </row>
    <row r="9632" spans="6:9" x14ac:dyDescent="0.4">
      <c r="I9632" s="1"/>
    </row>
    <row r="9640" spans="6:9" x14ac:dyDescent="0.4">
      <c r="I9640" s="1"/>
    </row>
    <row r="9642" spans="6:9" x14ac:dyDescent="0.4">
      <c r="F9642" s="1"/>
    </row>
    <row r="9645" spans="6:9" x14ac:dyDescent="0.4">
      <c r="I9645" s="1"/>
    </row>
    <row r="9646" spans="6:9" x14ac:dyDescent="0.4">
      <c r="I9646" s="1"/>
    </row>
    <row r="9647" spans="6:9" x14ac:dyDescent="0.4">
      <c r="I9647" s="1"/>
    </row>
    <row r="9652" spans="9:9" x14ac:dyDescent="0.4">
      <c r="I9652" s="1"/>
    </row>
    <row r="9660" spans="9:9" x14ac:dyDescent="0.4">
      <c r="I9660" s="1"/>
    </row>
    <row r="9664" spans="9:9" x14ac:dyDescent="0.4">
      <c r="I9664" s="1"/>
    </row>
    <row r="9669" spans="6:9" x14ac:dyDescent="0.4">
      <c r="I9669" s="1"/>
    </row>
    <row r="9672" spans="6:9" x14ac:dyDescent="0.4">
      <c r="F9672" s="1"/>
    </row>
    <row r="9673" spans="6:9" x14ac:dyDescent="0.4">
      <c r="I9673" s="1"/>
    </row>
    <row r="9675" spans="6:9" x14ac:dyDescent="0.4">
      <c r="I9675" s="1"/>
    </row>
    <row r="9679" spans="6:9" x14ac:dyDescent="0.4">
      <c r="I9679" s="1"/>
    </row>
    <row r="9685" spans="9:9" x14ac:dyDescent="0.4">
      <c r="I9685" s="1"/>
    </row>
    <row r="9688" spans="9:9" x14ac:dyDescent="0.4">
      <c r="I9688" s="1"/>
    </row>
    <row r="9689" spans="9:9" x14ac:dyDescent="0.4">
      <c r="I9689" s="1"/>
    </row>
    <row r="9691" spans="9:9" x14ac:dyDescent="0.4">
      <c r="I9691" s="1"/>
    </row>
    <row r="9692" spans="9:9" x14ac:dyDescent="0.4">
      <c r="I9692" s="1"/>
    </row>
    <row r="9697" spans="9:9" x14ac:dyDescent="0.4">
      <c r="I9697" s="1"/>
    </row>
    <row r="9701" spans="9:9" x14ac:dyDescent="0.4">
      <c r="I9701" s="1"/>
    </row>
    <row r="9702" spans="9:9" x14ac:dyDescent="0.4">
      <c r="I9702" s="1"/>
    </row>
    <row r="9707" spans="9:9" x14ac:dyDescent="0.4">
      <c r="I9707" s="1"/>
    </row>
    <row r="9710" spans="9:9" x14ac:dyDescent="0.4">
      <c r="I9710" s="1"/>
    </row>
    <row r="9711" spans="9:9" x14ac:dyDescent="0.4">
      <c r="I9711" s="1"/>
    </row>
    <row r="9714" spans="9:9" x14ac:dyDescent="0.4">
      <c r="I9714" s="1"/>
    </row>
    <row r="9715" spans="9:9" x14ac:dyDescent="0.4">
      <c r="I9715" s="1"/>
    </row>
    <row r="9726" spans="9:9" x14ac:dyDescent="0.4">
      <c r="I9726" s="1"/>
    </row>
    <row r="9730" spans="9:9" x14ac:dyDescent="0.4">
      <c r="I9730" s="1"/>
    </row>
    <row r="9735" spans="9:9" x14ac:dyDescent="0.4">
      <c r="I9735" s="1"/>
    </row>
    <row r="9737" spans="9:9" x14ac:dyDescent="0.4">
      <c r="I9737" s="1"/>
    </row>
    <row r="9741" spans="9:9" x14ac:dyDescent="0.4">
      <c r="I9741" s="1"/>
    </row>
    <row r="9747" spans="9:9" x14ac:dyDescent="0.4">
      <c r="I9747" s="1"/>
    </row>
    <row r="9750" spans="9:9" x14ac:dyDescent="0.4">
      <c r="I9750" s="1"/>
    </row>
    <row r="9751" spans="9:9" x14ac:dyDescent="0.4">
      <c r="I9751" s="1"/>
    </row>
    <row r="9753" spans="9:9" x14ac:dyDescent="0.4">
      <c r="I9753" s="1"/>
    </row>
    <row r="9756" spans="9:9" x14ac:dyDescent="0.4">
      <c r="I9756" s="1"/>
    </row>
    <row r="9761" spans="9:9" x14ac:dyDescent="0.4">
      <c r="I9761" s="1"/>
    </row>
    <row r="9762" spans="9:9" x14ac:dyDescent="0.4">
      <c r="I9762" s="1"/>
    </row>
    <row r="9765" spans="9:9" x14ac:dyDescent="0.4">
      <c r="I9765" s="1"/>
    </row>
    <row r="9766" spans="9:9" x14ac:dyDescent="0.4">
      <c r="I9766" s="1"/>
    </row>
    <row r="9775" spans="9:9" x14ac:dyDescent="0.4">
      <c r="I9775" s="1"/>
    </row>
    <row r="9779" spans="9:9" x14ac:dyDescent="0.4">
      <c r="I9779" s="1"/>
    </row>
    <row r="9783" spans="9:9" x14ac:dyDescent="0.4">
      <c r="I9783" s="1"/>
    </row>
    <row r="9785" spans="9:9" x14ac:dyDescent="0.4">
      <c r="I9785" s="1"/>
    </row>
    <row r="9787" spans="9:9" x14ac:dyDescent="0.4">
      <c r="I9787" s="1"/>
    </row>
    <row r="9788" spans="9:9" x14ac:dyDescent="0.4">
      <c r="I9788" s="1"/>
    </row>
    <row r="9789" spans="9:9" x14ac:dyDescent="0.4">
      <c r="I9789" s="1"/>
    </row>
    <row r="9796" spans="9:9" x14ac:dyDescent="0.4">
      <c r="I9796" s="1"/>
    </row>
    <row r="9812" spans="9:9" x14ac:dyDescent="0.4">
      <c r="I9812" s="1"/>
    </row>
    <row r="9815" spans="9:9" x14ac:dyDescent="0.4">
      <c r="I9815" s="1"/>
    </row>
    <row r="9817" spans="9:9" x14ac:dyDescent="0.4">
      <c r="I9817" s="1"/>
    </row>
    <row r="9821" spans="9:9" x14ac:dyDescent="0.4">
      <c r="I9821" s="1"/>
    </row>
    <row r="9823" spans="9:9" x14ac:dyDescent="0.4">
      <c r="I9823" s="1"/>
    </row>
    <row r="9826" spans="9:9" x14ac:dyDescent="0.4">
      <c r="I9826" s="1"/>
    </row>
    <row r="9829" spans="9:9" x14ac:dyDescent="0.4">
      <c r="I9829" s="1"/>
    </row>
    <row r="9830" spans="9:9" x14ac:dyDescent="0.4">
      <c r="I9830" s="1"/>
    </row>
    <row r="9837" spans="9:9" x14ac:dyDescent="0.4">
      <c r="I9837" s="1"/>
    </row>
    <row r="9843" spans="9:9" x14ac:dyDescent="0.4">
      <c r="I9843" s="1"/>
    </row>
    <row r="9846" spans="9:9" x14ac:dyDescent="0.4">
      <c r="I9846" s="1"/>
    </row>
    <row r="9857" spans="9:9" x14ac:dyDescent="0.4">
      <c r="I9857" s="1"/>
    </row>
    <row r="9862" spans="9:9" x14ac:dyDescent="0.4">
      <c r="I9862" s="1"/>
    </row>
    <row r="9863" spans="9:9" x14ac:dyDescent="0.4">
      <c r="I9863" s="1"/>
    </row>
    <row r="9866" spans="9:9" x14ac:dyDescent="0.4">
      <c r="I9866" s="1"/>
    </row>
    <row r="9869" spans="9:9" x14ac:dyDescent="0.4">
      <c r="I9869" s="1"/>
    </row>
    <row r="9870" spans="9:9" x14ac:dyDescent="0.4">
      <c r="I9870" s="1"/>
    </row>
    <row r="9873" spans="9:9" x14ac:dyDescent="0.4">
      <c r="I9873" s="1"/>
    </row>
    <row r="9880" spans="9:9" x14ac:dyDescent="0.4">
      <c r="I9880" s="1"/>
    </row>
    <row r="9883" spans="9:9" x14ac:dyDescent="0.4">
      <c r="I9883" s="1"/>
    </row>
    <row r="9885" spans="9:9" x14ac:dyDescent="0.4">
      <c r="I9885" s="1"/>
    </row>
    <row r="9888" spans="9:9" x14ac:dyDescent="0.4">
      <c r="I9888" s="1"/>
    </row>
    <row r="9898" spans="9:9" x14ac:dyDescent="0.4">
      <c r="I9898" s="1"/>
    </row>
    <row r="9899" spans="9:9" x14ac:dyDescent="0.4">
      <c r="I9899" s="1"/>
    </row>
    <row r="9901" spans="9:9" x14ac:dyDescent="0.4">
      <c r="I9901" s="1"/>
    </row>
    <row r="9904" spans="9:9" x14ac:dyDescent="0.4">
      <c r="I9904" s="1"/>
    </row>
    <row r="9905" spans="9:9" x14ac:dyDescent="0.4">
      <c r="I9905" s="1"/>
    </row>
    <row r="9909" spans="9:9" x14ac:dyDescent="0.4">
      <c r="I9909" s="1"/>
    </row>
    <row r="9915" spans="9:9" x14ac:dyDescent="0.4">
      <c r="I9915" s="1"/>
    </row>
    <row r="9918" spans="9:9" x14ac:dyDescent="0.4">
      <c r="I9918" s="1"/>
    </row>
    <row r="9921" spans="9:9" x14ac:dyDescent="0.4">
      <c r="I9921" s="1"/>
    </row>
    <row r="9923" spans="9:9" x14ac:dyDescent="0.4">
      <c r="I9923" s="1"/>
    </row>
    <row r="9924" spans="9:9" x14ac:dyDescent="0.4">
      <c r="I9924" s="1"/>
    </row>
    <row r="9931" spans="9:9" x14ac:dyDescent="0.4">
      <c r="I9931" s="1"/>
    </row>
    <row r="9936" spans="9:9" x14ac:dyDescent="0.4">
      <c r="I9936" s="1"/>
    </row>
    <row r="9940" spans="9:9" x14ac:dyDescent="0.4">
      <c r="I9940" s="1"/>
    </row>
    <row r="9943" spans="9:9" x14ac:dyDescent="0.4">
      <c r="I9943" s="1"/>
    </row>
    <row r="9944" spans="9:9" x14ac:dyDescent="0.4">
      <c r="I9944" s="1"/>
    </row>
    <row r="9949" spans="9:9" x14ac:dyDescent="0.4">
      <c r="I9949" s="1"/>
    </row>
    <row r="9953" spans="9:9" x14ac:dyDescent="0.4">
      <c r="I9953" s="1"/>
    </row>
    <row r="9957" spans="9:9" x14ac:dyDescent="0.4">
      <c r="I9957" s="1"/>
    </row>
    <row r="9958" spans="9:9" x14ac:dyDescent="0.4">
      <c r="I9958" s="1"/>
    </row>
    <row r="9960" spans="9:9" x14ac:dyDescent="0.4">
      <c r="I9960" s="1"/>
    </row>
    <row r="9962" spans="9:9" x14ac:dyDescent="0.4">
      <c r="I9962" s="1"/>
    </row>
    <row r="9971" spans="9:9" x14ac:dyDescent="0.4">
      <c r="I9971" s="1"/>
    </row>
    <row r="9979" spans="9:9" x14ac:dyDescent="0.4">
      <c r="I9979" s="1"/>
    </row>
    <row r="9981" spans="9:9" x14ac:dyDescent="0.4">
      <c r="I9981" s="1"/>
    </row>
    <row r="9986" spans="6:9" x14ac:dyDescent="0.4">
      <c r="I9986" s="1"/>
    </row>
    <row r="9987" spans="6:9" x14ac:dyDescent="0.4">
      <c r="I9987" s="1"/>
    </row>
    <row r="9995" spans="6:9" x14ac:dyDescent="0.4">
      <c r="F9995" s="1"/>
    </row>
    <row r="10004" spans="9:9" x14ac:dyDescent="0.4">
      <c r="I10004" s="1"/>
    </row>
    <row r="10005" spans="9:9" x14ac:dyDescent="0.4">
      <c r="I10005" s="1"/>
    </row>
    <row r="10006" spans="9:9" x14ac:dyDescent="0.4">
      <c r="I10006" s="1"/>
    </row>
    <row r="10011" spans="9:9" x14ac:dyDescent="0.4">
      <c r="I10011" s="1"/>
    </row>
    <row r="10015" spans="9:9" x14ac:dyDescent="0.4">
      <c r="I10015" s="1"/>
    </row>
    <row r="10028" spans="9:9" x14ac:dyDescent="0.4">
      <c r="I10028" s="1"/>
    </row>
    <row r="10030" spans="9:9" x14ac:dyDescent="0.4">
      <c r="I10030" s="1"/>
    </row>
    <row r="10034" spans="9:9" x14ac:dyDescent="0.4">
      <c r="I10034" s="1"/>
    </row>
    <row r="10035" spans="9:9" x14ac:dyDescent="0.4">
      <c r="I10035" s="1"/>
    </row>
    <row r="10046" spans="9:9" x14ac:dyDescent="0.4">
      <c r="I10046" s="1"/>
    </row>
    <row r="10048" spans="9:9" x14ac:dyDescent="0.4">
      <c r="I10048" s="1"/>
    </row>
    <row r="10049" spans="9:9" x14ac:dyDescent="0.4">
      <c r="I10049" s="1"/>
    </row>
    <row r="10053" spans="9:9" x14ac:dyDescent="0.4">
      <c r="I10053" s="1"/>
    </row>
    <row r="10057" spans="9:9" x14ac:dyDescent="0.4">
      <c r="I10057" s="1"/>
    </row>
    <row r="10059" spans="9:9" x14ac:dyDescent="0.4">
      <c r="I10059" s="1"/>
    </row>
    <row r="10062" spans="9:9" x14ac:dyDescent="0.4">
      <c r="I10062" s="1"/>
    </row>
    <row r="10063" spans="9:9" x14ac:dyDescent="0.4">
      <c r="I10063" s="1"/>
    </row>
    <row r="10068" spans="9:9" x14ac:dyDescent="0.4">
      <c r="I10068" s="1"/>
    </row>
    <row r="10071" spans="9:9" x14ac:dyDescent="0.4">
      <c r="I10071" s="1"/>
    </row>
    <row r="10075" spans="9:9" x14ac:dyDescent="0.4">
      <c r="I10075" s="1"/>
    </row>
    <row r="10079" spans="9:9" x14ac:dyDescent="0.4">
      <c r="I10079" s="1"/>
    </row>
    <row r="10085" spans="9:9" x14ac:dyDescent="0.4">
      <c r="I10085" s="1"/>
    </row>
    <row r="10090" spans="9:9" x14ac:dyDescent="0.4">
      <c r="I10090" s="1"/>
    </row>
    <row r="10092" spans="9:9" x14ac:dyDescent="0.4">
      <c r="I10092" s="1"/>
    </row>
    <row r="10098" spans="9:9" x14ac:dyDescent="0.4">
      <c r="I10098" s="1"/>
    </row>
    <row r="10099" spans="9:9" x14ac:dyDescent="0.4">
      <c r="I10099" s="1"/>
    </row>
    <row r="10102" spans="9:9" x14ac:dyDescent="0.4">
      <c r="I10102" s="1"/>
    </row>
    <row r="10103" spans="9:9" x14ac:dyDescent="0.4">
      <c r="I10103" s="1"/>
    </row>
    <row r="10105" spans="9:9" x14ac:dyDescent="0.4">
      <c r="I10105" s="1"/>
    </row>
    <row r="10106" spans="9:9" x14ac:dyDescent="0.4">
      <c r="I10106" s="1"/>
    </row>
    <row r="10114" spans="9:9" x14ac:dyDescent="0.4">
      <c r="I10114" s="1"/>
    </row>
    <row r="10115" spans="9:9" x14ac:dyDescent="0.4">
      <c r="I10115" s="1"/>
    </row>
    <row r="10120" spans="9:9" x14ac:dyDescent="0.4">
      <c r="I10120" s="1"/>
    </row>
    <row r="10122" spans="9:9" x14ac:dyDescent="0.4">
      <c r="I10122" s="1"/>
    </row>
    <row r="10126" spans="9:9" x14ac:dyDescent="0.4">
      <c r="I10126" s="1"/>
    </row>
    <row r="10127" spans="9:9" x14ac:dyDescent="0.4">
      <c r="I10127" s="1"/>
    </row>
    <row r="10139" spans="9:9" x14ac:dyDescent="0.4">
      <c r="I10139" s="1"/>
    </row>
    <row r="10145" spans="9:9" x14ac:dyDescent="0.4">
      <c r="I10145" s="1"/>
    </row>
    <row r="10148" spans="9:9" x14ac:dyDescent="0.4">
      <c r="I10148" s="1"/>
    </row>
    <row r="10154" spans="9:9" x14ac:dyDescent="0.4">
      <c r="I10154" s="1"/>
    </row>
    <row r="10161" spans="9:9" x14ac:dyDescent="0.4">
      <c r="I10161" s="1"/>
    </row>
    <row r="10164" spans="9:9" x14ac:dyDescent="0.4">
      <c r="I10164" s="1"/>
    </row>
    <row r="10165" spans="9:9" x14ac:dyDescent="0.4">
      <c r="I10165" s="1"/>
    </row>
    <row r="10169" spans="9:9" x14ac:dyDescent="0.4">
      <c r="I10169" s="1"/>
    </row>
    <row r="10171" spans="9:9" x14ac:dyDescent="0.4">
      <c r="I10171" s="1"/>
    </row>
    <row r="10172" spans="9:9" x14ac:dyDescent="0.4">
      <c r="I10172" s="1"/>
    </row>
    <row r="10177" spans="9:9" x14ac:dyDescent="0.4">
      <c r="I10177" s="1"/>
    </row>
    <row r="10180" spans="9:9" x14ac:dyDescent="0.4">
      <c r="I10180" s="1"/>
    </row>
    <row r="10182" spans="9:9" x14ac:dyDescent="0.4">
      <c r="I10182" s="1"/>
    </row>
    <row r="10184" spans="9:9" x14ac:dyDescent="0.4">
      <c r="I10184" s="1"/>
    </row>
    <row r="10186" spans="9:9" x14ac:dyDescent="0.4">
      <c r="I10186" s="1"/>
    </row>
    <row r="10188" spans="9:9" x14ac:dyDescent="0.4">
      <c r="I10188" s="1"/>
    </row>
    <row r="10190" spans="9:9" x14ac:dyDescent="0.4">
      <c r="I10190" s="1"/>
    </row>
    <row r="10196" spans="9:9" x14ac:dyDescent="0.4">
      <c r="I10196" s="1"/>
    </row>
    <row r="10199" spans="9:9" x14ac:dyDescent="0.4">
      <c r="I10199" s="1"/>
    </row>
    <row r="10200" spans="9:9" x14ac:dyDescent="0.4">
      <c r="I10200" s="1"/>
    </row>
    <row r="10205" spans="9:9" x14ac:dyDescent="0.4">
      <c r="I10205" s="1"/>
    </row>
    <row r="10211" spans="9:9" x14ac:dyDescent="0.4">
      <c r="I10211" s="1"/>
    </row>
    <row r="10215" spans="9:9" x14ac:dyDescent="0.4">
      <c r="I10215" s="1"/>
    </row>
    <row r="10216" spans="9:9" x14ac:dyDescent="0.4">
      <c r="I10216" s="1"/>
    </row>
    <row r="10218" spans="9:9" x14ac:dyDescent="0.4">
      <c r="I10218" s="1"/>
    </row>
    <row r="10219" spans="9:9" x14ac:dyDescent="0.4">
      <c r="I10219" s="1"/>
    </row>
    <row r="10221" spans="9:9" x14ac:dyDescent="0.4">
      <c r="I10221" s="1"/>
    </row>
    <row r="10222" spans="9:9" x14ac:dyDescent="0.4">
      <c r="I10222" s="1"/>
    </row>
    <row r="10226" spans="9:9" x14ac:dyDescent="0.4">
      <c r="I10226" s="1"/>
    </row>
    <row r="10236" spans="9:9" x14ac:dyDescent="0.4">
      <c r="I10236" s="1"/>
    </row>
    <row r="10239" spans="9:9" x14ac:dyDescent="0.4">
      <c r="I10239" s="1"/>
    </row>
    <row r="10241" spans="9:9" x14ac:dyDescent="0.4">
      <c r="I10241" s="1"/>
    </row>
    <row r="10246" spans="9:9" x14ac:dyDescent="0.4">
      <c r="I10246" s="1"/>
    </row>
    <row r="10247" spans="9:9" x14ac:dyDescent="0.4">
      <c r="I10247" s="1"/>
    </row>
    <row r="10251" spans="9:9" x14ac:dyDescent="0.4">
      <c r="I10251" s="1"/>
    </row>
    <row r="10256" spans="9:9" x14ac:dyDescent="0.4">
      <c r="I10256" s="1"/>
    </row>
    <row r="10262" spans="9:9" x14ac:dyDescent="0.4">
      <c r="I10262" s="1"/>
    </row>
    <row r="10263" spans="9:9" x14ac:dyDescent="0.4">
      <c r="I10263" s="1"/>
    </row>
    <row r="10267" spans="9:9" x14ac:dyDescent="0.4">
      <c r="I10267" s="1"/>
    </row>
    <row r="10271" spans="9:9" x14ac:dyDescent="0.4">
      <c r="I10271" s="1"/>
    </row>
    <row r="10275" spans="9:9" x14ac:dyDescent="0.4">
      <c r="I10275" s="1"/>
    </row>
    <row r="10286" spans="9:9" x14ac:dyDescent="0.4">
      <c r="I10286" s="1"/>
    </row>
    <row r="10291" spans="9:9" x14ac:dyDescent="0.4">
      <c r="I10291" s="1"/>
    </row>
    <row r="10292" spans="9:9" x14ac:dyDescent="0.4">
      <c r="I10292" s="1"/>
    </row>
    <row r="10293" spans="9:9" x14ac:dyDescent="0.4">
      <c r="I10293" s="1"/>
    </row>
    <row r="10300" spans="9:9" x14ac:dyDescent="0.4">
      <c r="I10300" s="1"/>
    </row>
    <row r="10305" spans="9:9" x14ac:dyDescent="0.4">
      <c r="I10305" s="1"/>
    </row>
    <row r="10310" spans="9:9" x14ac:dyDescent="0.4">
      <c r="I10310" s="1"/>
    </row>
    <row r="10313" spans="9:9" x14ac:dyDescent="0.4">
      <c r="I10313" s="1"/>
    </row>
    <row r="10314" spans="9:9" x14ac:dyDescent="0.4">
      <c r="I10314" s="1"/>
    </row>
    <row r="10318" spans="9:9" x14ac:dyDescent="0.4">
      <c r="I10318" s="1"/>
    </row>
    <row r="10323" spans="9:9" x14ac:dyDescent="0.4">
      <c r="I10323" s="1"/>
    </row>
    <row r="10324" spans="9:9" x14ac:dyDescent="0.4">
      <c r="I10324" s="1"/>
    </row>
    <row r="10325" spans="9:9" x14ac:dyDescent="0.4">
      <c r="I10325" s="1"/>
    </row>
    <row r="10326" spans="9:9" x14ac:dyDescent="0.4">
      <c r="I10326" s="1"/>
    </row>
    <row r="10334" spans="9:9" x14ac:dyDescent="0.4">
      <c r="I10334" s="1"/>
    </row>
    <row r="10337" spans="9:9" x14ac:dyDescent="0.4">
      <c r="I10337" s="1"/>
    </row>
    <row r="10339" spans="9:9" x14ac:dyDescent="0.4">
      <c r="I10339" s="1"/>
    </row>
    <row r="10341" spans="9:9" x14ac:dyDescent="0.4">
      <c r="I10341" s="1"/>
    </row>
    <row r="10344" spans="9:9" x14ac:dyDescent="0.4">
      <c r="I10344" s="1"/>
    </row>
    <row r="10346" spans="9:9" x14ac:dyDescent="0.4">
      <c r="I10346" s="1"/>
    </row>
    <row r="10355" spans="9:9" x14ac:dyDescent="0.4">
      <c r="I10355" s="1"/>
    </row>
    <row r="10360" spans="9:9" x14ac:dyDescent="0.4">
      <c r="I10360" s="1"/>
    </row>
    <row r="10361" spans="9:9" x14ac:dyDescent="0.4">
      <c r="I10361" s="1"/>
    </row>
    <row r="10362" spans="9:9" x14ac:dyDescent="0.4">
      <c r="I10362" s="1"/>
    </row>
    <row r="10366" spans="9:9" x14ac:dyDescent="0.4">
      <c r="I10366" s="1"/>
    </row>
    <row r="10371" spans="9:9" x14ac:dyDescent="0.4">
      <c r="I10371" s="1"/>
    </row>
    <row r="10372" spans="9:9" x14ac:dyDescent="0.4">
      <c r="I10372" s="1"/>
    </row>
    <row r="10374" spans="9:9" x14ac:dyDescent="0.4">
      <c r="I10374" s="1"/>
    </row>
    <row r="10376" spans="9:9" x14ac:dyDescent="0.4">
      <c r="I10376" s="1"/>
    </row>
    <row r="10379" spans="9:9" x14ac:dyDescent="0.4">
      <c r="I10379" s="1"/>
    </row>
    <row r="10383" spans="9:9" x14ac:dyDescent="0.4">
      <c r="I10383" s="1"/>
    </row>
    <row r="10385" spans="9:9" x14ac:dyDescent="0.4">
      <c r="I10385" s="1"/>
    </row>
    <row r="10386" spans="9:9" x14ac:dyDescent="0.4">
      <c r="I10386" s="1"/>
    </row>
    <row r="10390" spans="9:9" x14ac:dyDescent="0.4">
      <c r="I10390" s="1"/>
    </row>
    <row r="10396" spans="9:9" x14ac:dyDescent="0.4">
      <c r="I10396" s="1"/>
    </row>
    <row r="10397" spans="9:9" x14ac:dyDescent="0.4">
      <c r="I10397" s="1"/>
    </row>
    <row r="10398" spans="9:9" x14ac:dyDescent="0.4">
      <c r="I10398" s="1"/>
    </row>
    <row r="10399" spans="9:9" x14ac:dyDescent="0.4">
      <c r="I10399" s="1"/>
    </row>
    <row r="10402" spans="9:9" x14ac:dyDescent="0.4">
      <c r="I10402" s="1"/>
    </row>
    <row r="10407" spans="9:9" x14ac:dyDescent="0.4">
      <c r="I10407" s="1"/>
    </row>
    <row r="10412" spans="9:9" x14ac:dyDescent="0.4">
      <c r="I10412" s="1"/>
    </row>
    <row r="10413" spans="9:9" x14ac:dyDescent="0.4">
      <c r="I10413" s="1"/>
    </row>
    <row r="10414" spans="9:9" x14ac:dyDescent="0.4">
      <c r="I10414" s="1"/>
    </row>
    <row r="10415" spans="9:9" x14ac:dyDescent="0.4">
      <c r="I10415" s="1"/>
    </row>
    <row r="10423" spans="6:9" x14ac:dyDescent="0.4">
      <c r="I10423" s="1"/>
    </row>
    <row r="10424" spans="6:9" x14ac:dyDescent="0.4">
      <c r="I10424" s="1"/>
    </row>
    <row r="10427" spans="6:9" x14ac:dyDescent="0.4">
      <c r="I10427" s="1"/>
    </row>
    <row r="10428" spans="6:9" x14ac:dyDescent="0.4">
      <c r="F10428" s="1"/>
    </row>
    <row r="10432" spans="6:9" x14ac:dyDescent="0.4">
      <c r="I10432" s="1"/>
    </row>
    <row r="10433" spans="9:9" x14ac:dyDescent="0.4">
      <c r="I10433" s="1"/>
    </row>
    <row r="10443" spans="9:9" x14ac:dyDescent="0.4">
      <c r="I10443" s="1"/>
    </row>
    <row r="10446" spans="9:9" x14ac:dyDescent="0.4">
      <c r="I10446" s="1"/>
    </row>
    <row r="10447" spans="9:9" x14ac:dyDescent="0.4">
      <c r="I10447" s="1"/>
    </row>
    <row r="10448" spans="9:9" x14ac:dyDescent="0.4">
      <c r="I10448" s="1"/>
    </row>
    <row r="10459" spans="9:9" x14ac:dyDescent="0.4">
      <c r="I10459" s="1"/>
    </row>
    <row r="10462" spans="9:9" x14ac:dyDescent="0.4">
      <c r="I10462" s="1"/>
    </row>
    <row r="10463" spans="9:9" x14ac:dyDescent="0.4">
      <c r="I10463" s="1"/>
    </row>
    <row r="10466" spans="9:9" x14ac:dyDescent="0.4">
      <c r="I10466" s="1"/>
    </row>
    <row r="10474" spans="9:9" x14ac:dyDescent="0.4">
      <c r="I10474" s="1"/>
    </row>
    <row r="10475" spans="9:9" x14ac:dyDescent="0.4">
      <c r="I10475" s="1"/>
    </row>
    <row r="10477" spans="9:9" x14ac:dyDescent="0.4">
      <c r="I10477" s="1"/>
    </row>
    <row r="10478" spans="9:9" x14ac:dyDescent="0.4">
      <c r="I10478" s="1"/>
    </row>
    <row r="10481" spans="6:9" x14ac:dyDescent="0.4">
      <c r="I10481" s="1"/>
    </row>
    <row r="10488" spans="6:9" x14ac:dyDescent="0.4">
      <c r="F10488" s="1"/>
    </row>
    <row r="10490" spans="6:9" x14ac:dyDescent="0.4">
      <c r="I10490" s="1"/>
    </row>
    <row r="10495" spans="6:9" x14ac:dyDescent="0.4">
      <c r="I10495" s="1"/>
    </row>
    <row r="10496" spans="6:9" x14ac:dyDescent="0.4">
      <c r="I10496" s="1"/>
    </row>
    <row r="10517" spans="9:9" x14ac:dyDescent="0.4">
      <c r="I10517" s="1"/>
    </row>
    <row r="10524" spans="9:9" x14ac:dyDescent="0.4">
      <c r="I10524" s="1"/>
    </row>
    <row r="10528" spans="9:9" x14ac:dyDescent="0.4">
      <c r="I10528" s="1"/>
    </row>
    <row r="10529" spans="9:9" x14ac:dyDescent="0.4">
      <c r="I10529" s="1"/>
    </row>
    <row r="10530" spans="9:9" x14ac:dyDescent="0.4">
      <c r="I10530" s="1"/>
    </row>
    <row r="10531" spans="9:9" x14ac:dyDescent="0.4">
      <c r="I10531" s="1"/>
    </row>
    <row r="10536" spans="9:9" x14ac:dyDescent="0.4">
      <c r="I10536" s="1"/>
    </row>
    <row r="10537" spans="9:9" x14ac:dyDescent="0.4">
      <c r="I10537" s="1"/>
    </row>
    <row r="10557" spans="9:9" x14ac:dyDescent="0.4">
      <c r="I10557" s="1"/>
    </row>
    <row r="10566" spans="9:9" x14ac:dyDescent="0.4">
      <c r="I10566" s="1"/>
    </row>
    <row r="10569" spans="9:9" x14ac:dyDescent="0.4">
      <c r="I10569" s="1"/>
    </row>
    <row r="10571" spans="9:9" x14ac:dyDescent="0.4">
      <c r="I10571" s="1"/>
    </row>
    <row r="10572" spans="9:9" x14ac:dyDescent="0.4">
      <c r="I10572" s="1"/>
    </row>
    <row r="10574" spans="9:9" x14ac:dyDescent="0.4">
      <c r="I10574" s="1"/>
    </row>
    <row r="10576" spans="9:9" x14ac:dyDescent="0.4">
      <c r="I10576" s="1"/>
    </row>
    <row r="10579" spans="9:9" x14ac:dyDescent="0.4">
      <c r="I10579" s="1"/>
    </row>
    <row r="10585" spans="9:9" x14ac:dyDescent="0.4">
      <c r="I10585" s="1"/>
    </row>
    <row r="10586" spans="9:9" x14ac:dyDescent="0.4">
      <c r="I10586" s="1"/>
    </row>
    <row r="10594" spans="9:9" x14ac:dyDescent="0.4">
      <c r="I10594" s="1"/>
    </row>
    <row r="10598" spans="9:9" x14ac:dyDescent="0.4">
      <c r="I10598" s="1"/>
    </row>
    <row r="10600" spans="9:9" x14ac:dyDescent="0.4">
      <c r="I10600" s="1"/>
    </row>
    <row r="10607" spans="9:9" x14ac:dyDescent="0.4">
      <c r="I10607" s="1"/>
    </row>
    <row r="10613" spans="6:9" x14ac:dyDescent="0.4">
      <c r="I10613" s="1"/>
    </row>
    <row r="10617" spans="6:9" x14ac:dyDescent="0.4">
      <c r="I10617" s="1"/>
    </row>
    <row r="10618" spans="6:9" x14ac:dyDescent="0.4">
      <c r="I10618" s="1"/>
    </row>
    <row r="10620" spans="6:9" x14ac:dyDescent="0.4">
      <c r="I10620" s="1"/>
    </row>
    <row r="10624" spans="6:9" x14ac:dyDescent="0.4">
      <c r="F10624" s="1"/>
    </row>
    <row r="10626" spans="6:9" x14ac:dyDescent="0.4">
      <c r="F10626" s="1"/>
      <c r="I10626" s="1"/>
    </row>
    <row r="10641" spans="9:9" x14ac:dyDescent="0.4">
      <c r="I10641" s="1"/>
    </row>
    <row r="10645" spans="9:9" x14ac:dyDescent="0.4">
      <c r="I10645" s="1"/>
    </row>
    <row r="10662" spans="6:6" x14ac:dyDescent="0.4">
      <c r="F10662" s="1"/>
    </row>
    <row r="10667" spans="6:6" x14ac:dyDescent="0.4">
      <c r="F10667" s="1"/>
    </row>
    <row r="10677" spans="9:9" x14ac:dyDescent="0.4">
      <c r="I10677" s="1"/>
    </row>
    <row r="10682" spans="9:9" x14ac:dyDescent="0.4">
      <c r="I10682" s="1"/>
    </row>
    <row r="10686" spans="9:9" x14ac:dyDescent="0.4">
      <c r="I10686" s="1"/>
    </row>
    <row r="10696" spans="9:9" x14ac:dyDescent="0.4">
      <c r="I10696" s="1"/>
    </row>
    <row r="10700" spans="9:9" x14ac:dyDescent="0.4">
      <c r="I10700" s="1"/>
    </row>
    <row r="10705" spans="9:9" x14ac:dyDescent="0.4">
      <c r="I10705" s="1"/>
    </row>
    <row r="10709" spans="9:9" x14ac:dyDescent="0.4">
      <c r="I10709" s="1"/>
    </row>
    <row r="10723" spans="9:9" x14ac:dyDescent="0.4">
      <c r="I10723" s="1"/>
    </row>
    <row r="10724" spans="9:9" x14ac:dyDescent="0.4">
      <c r="I10724" s="1"/>
    </row>
    <row r="10733" spans="9:9" x14ac:dyDescent="0.4">
      <c r="I10733" s="1"/>
    </row>
    <row r="10734" spans="9:9" x14ac:dyDescent="0.4">
      <c r="I10734" s="1"/>
    </row>
    <row r="10741" spans="9:9" x14ac:dyDescent="0.4">
      <c r="I10741" s="1"/>
    </row>
    <row r="10743" spans="9:9" x14ac:dyDescent="0.4">
      <c r="I10743" s="1"/>
    </row>
    <row r="10746" spans="9:9" x14ac:dyDescent="0.4">
      <c r="I10746" s="1"/>
    </row>
    <row r="10747" spans="9:9" x14ac:dyDescent="0.4">
      <c r="I10747" s="1"/>
    </row>
    <row r="10754" spans="6:6" x14ac:dyDescent="0.4">
      <c r="F10754" s="1"/>
    </row>
    <row r="10759" spans="6:6" x14ac:dyDescent="0.4">
      <c r="F10759" s="1"/>
    </row>
    <row r="10769" spans="9:9" x14ac:dyDescent="0.4">
      <c r="I10769" s="1"/>
    </row>
    <row r="10775" spans="9:9" x14ac:dyDescent="0.4">
      <c r="I10775" s="1"/>
    </row>
    <row r="10776" spans="9:9" x14ac:dyDescent="0.4">
      <c r="I10776" s="1"/>
    </row>
    <row r="10782" spans="9:9" x14ac:dyDescent="0.4">
      <c r="I10782" s="1"/>
    </row>
    <row r="10785" spans="9:9" x14ac:dyDescent="0.4">
      <c r="I10785" s="1"/>
    </row>
    <row r="10792" spans="9:9" x14ac:dyDescent="0.4">
      <c r="I10792" s="1"/>
    </row>
    <row r="10796" spans="9:9" x14ac:dyDescent="0.4">
      <c r="I10796" s="1"/>
    </row>
    <row r="10798" spans="9:9" x14ac:dyDescent="0.4">
      <c r="I10798" s="1"/>
    </row>
    <row r="10799" spans="9:9" x14ac:dyDescent="0.4">
      <c r="I10799" s="1"/>
    </row>
    <row r="10802" spans="6:9" x14ac:dyDescent="0.4">
      <c r="I10802" s="1"/>
    </row>
    <row r="10803" spans="6:9" x14ac:dyDescent="0.4">
      <c r="F10803" s="1"/>
    </row>
    <row r="10808" spans="6:9" x14ac:dyDescent="0.4">
      <c r="I10808" s="1"/>
    </row>
    <row r="10811" spans="6:9" x14ac:dyDescent="0.4">
      <c r="I10811" s="1"/>
    </row>
    <row r="10815" spans="6:9" x14ac:dyDescent="0.4">
      <c r="I10815" s="1"/>
    </row>
    <row r="10825" spans="9:9" x14ac:dyDescent="0.4">
      <c r="I10825" s="1"/>
    </row>
    <row r="10830" spans="9:9" x14ac:dyDescent="0.4">
      <c r="I10830" s="1"/>
    </row>
    <row r="10831" spans="9:9" x14ac:dyDescent="0.4">
      <c r="I10831" s="1"/>
    </row>
    <row r="10832" spans="9:9" x14ac:dyDescent="0.4">
      <c r="I10832" s="1"/>
    </row>
    <row r="10835" spans="9:9" x14ac:dyDescent="0.4">
      <c r="I10835" s="1"/>
    </row>
    <row r="10837" spans="9:9" x14ac:dyDescent="0.4">
      <c r="I10837" s="1"/>
    </row>
    <row r="10839" spans="9:9" x14ac:dyDescent="0.4">
      <c r="I10839" s="1"/>
    </row>
    <row r="10842" spans="9:9" x14ac:dyDescent="0.4">
      <c r="I10842" s="1"/>
    </row>
    <row r="10845" spans="9:9" x14ac:dyDescent="0.4">
      <c r="I10845" s="1"/>
    </row>
    <row r="10846" spans="9:9" x14ac:dyDescent="0.4">
      <c r="I10846" s="1"/>
    </row>
    <row r="10858" spans="9:9" x14ac:dyDescent="0.4">
      <c r="I10858" s="1"/>
    </row>
    <row r="10861" spans="9:9" x14ac:dyDescent="0.4">
      <c r="I10861" s="1"/>
    </row>
    <row r="10869" spans="6:6" x14ac:dyDescent="0.4">
      <c r="F10869" s="1"/>
    </row>
    <row r="10886" spans="9:9" x14ac:dyDescent="0.4">
      <c r="I10886" s="1"/>
    </row>
    <row r="10888" spans="9:9" x14ac:dyDescent="0.4">
      <c r="I10888" s="1"/>
    </row>
    <row r="10890" spans="9:9" x14ac:dyDescent="0.4">
      <c r="I10890" s="1"/>
    </row>
    <row r="10905" spans="6:9" x14ac:dyDescent="0.4">
      <c r="I10905" s="1"/>
    </row>
    <row r="10906" spans="6:9" x14ac:dyDescent="0.4">
      <c r="F10906" s="1"/>
    </row>
    <row r="10910" spans="6:9" x14ac:dyDescent="0.4">
      <c r="I10910" s="1"/>
    </row>
    <row r="10911" spans="6:9" x14ac:dyDescent="0.4">
      <c r="I10911" s="1"/>
    </row>
    <row r="10914" spans="9:9" x14ac:dyDescent="0.4">
      <c r="I10914" s="1"/>
    </row>
    <row r="10917" spans="9:9" x14ac:dyDescent="0.4">
      <c r="I10917" s="1"/>
    </row>
    <row r="10918" spans="9:9" x14ac:dyDescent="0.4">
      <c r="I10918" s="1"/>
    </row>
    <row r="10920" spans="9:9" x14ac:dyDescent="0.4">
      <c r="I10920" s="1"/>
    </row>
    <row r="10922" spans="9:9" x14ac:dyDescent="0.4">
      <c r="I10922" s="1"/>
    </row>
    <row r="10925" spans="9:9" x14ac:dyDescent="0.4">
      <c r="I10925" s="1"/>
    </row>
    <row r="10929" spans="6:9" x14ac:dyDescent="0.4">
      <c r="I10929" s="1"/>
    </row>
    <row r="10932" spans="6:9" x14ac:dyDescent="0.4">
      <c r="F10932" s="1"/>
    </row>
    <row r="10933" spans="6:9" x14ac:dyDescent="0.4">
      <c r="I10933" s="1"/>
    </row>
    <row r="10936" spans="6:9" x14ac:dyDescent="0.4">
      <c r="I10936" s="1"/>
    </row>
    <row r="10938" spans="6:9" x14ac:dyDescent="0.4">
      <c r="I10938" s="1"/>
    </row>
    <row r="10940" spans="6:9" x14ac:dyDescent="0.4">
      <c r="I10940" s="1"/>
    </row>
    <row r="10944" spans="6:9" x14ac:dyDescent="0.4">
      <c r="I10944" s="1"/>
    </row>
    <row r="10945" spans="6:9" x14ac:dyDescent="0.4">
      <c r="I10945" s="1"/>
    </row>
    <row r="10946" spans="6:9" x14ac:dyDescent="0.4">
      <c r="I10946" s="1"/>
    </row>
    <row r="10948" spans="6:9" x14ac:dyDescent="0.4">
      <c r="F10948" s="1"/>
      <c r="I10948" s="1"/>
    </row>
    <row r="10951" spans="6:9" x14ac:dyDescent="0.4">
      <c r="I10951" s="1"/>
    </row>
    <row r="10956" spans="6:9" x14ac:dyDescent="0.4">
      <c r="I10956" s="1"/>
    </row>
    <row r="10962" spans="6:9" x14ac:dyDescent="0.4">
      <c r="F10962" s="1"/>
    </row>
    <row r="10963" spans="6:9" x14ac:dyDescent="0.4">
      <c r="I10963" s="1"/>
    </row>
    <row r="10974" spans="6:9" x14ac:dyDescent="0.4">
      <c r="I10974" s="1"/>
    </row>
    <row r="10975" spans="6:9" x14ac:dyDescent="0.4">
      <c r="I10975" s="1"/>
    </row>
    <row r="10977" spans="6:9" x14ac:dyDescent="0.4">
      <c r="F10977" s="1"/>
    </row>
    <row r="10978" spans="6:9" x14ac:dyDescent="0.4">
      <c r="I10978" s="1"/>
    </row>
    <row r="10986" spans="6:9" x14ac:dyDescent="0.4">
      <c r="I10986" s="1"/>
    </row>
    <row r="10995" spans="6:9" x14ac:dyDescent="0.4">
      <c r="I10995" s="1"/>
    </row>
    <row r="11001" spans="6:9" x14ac:dyDescent="0.4">
      <c r="I11001" s="1"/>
    </row>
    <row r="11002" spans="6:9" x14ac:dyDescent="0.4">
      <c r="F11002" s="1"/>
    </row>
    <row r="11006" spans="6:9" x14ac:dyDescent="0.4">
      <c r="I11006" s="1"/>
    </row>
    <row r="11013" spans="6:9" x14ac:dyDescent="0.4">
      <c r="F11013" s="1"/>
    </row>
    <row r="11021" spans="6:9" x14ac:dyDescent="0.4">
      <c r="I11021" s="1"/>
    </row>
    <row r="11029" spans="9:9" x14ac:dyDescent="0.4">
      <c r="I11029" s="1"/>
    </row>
    <row r="11033" spans="9:9" x14ac:dyDescent="0.4">
      <c r="I11033" s="1"/>
    </row>
    <row r="11038" spans="9:9" x14ac:dyDescent="0.4">
      <c r="I11038" s="1"/>
    </row>
    <row r="11045" spans="9:9" x14ac:dyDescent="0.4">
      <c r="I11045" s="1"/>
    </row>
    <row r="11049" spans="9:9" x14ac:dyDescent="0.4">
      <c r="I11049" s="1"/>
    </row>
    <row r="11057" spans="6:9" x14ac:dyDescent="0.4">
      <c r="I11057" s="1"/>
    </row>
    <row r="11063" spans="6:9" x14ac:dyDescent="0.4">
      <c r="I11063" s="1"/>
    </row>
    <row r="11068" spans="6:9" x14ac:dyDescent="0.4">
      <c r="F11068" s="1"/>
      <c r="I11068" s="1"/>
    </row>
    <row r="11069" spans="6:9" x14ac:dyDescent="0.4">
      <c r="I11069" s="1"/>
    </row>
    <row r="11073" spans="9:9" x14ac:dyDescent="0.4">
      <c r="I11073" s="1"/>
    </row>
    <row r="11074" spans="9:9" x14ac:dyDescent="0.4">
      <c r="I11074" s="1"/>
    </row>
    <row r="11084" spans="9:9" x14ac:dyDescent="0.4">
      <c r="I11084" s="1"/>
    </row>
    <row r="11087" spans="9:9" x14ac:dyDescent="0.4">
      <c r="I11087" s="1"/>
    </row>
    <row r="11092" spans="9:9" x14ac:dyDescent="0.4">
      <c r="I11092" s="1"/>
    </row>
    <row r="11095" spans="9:9" x14ac:dyDescent="0.4">
      <c r="I11095" s="1"/>
    </row>
    <row r="11099" spans="9:9" x14ac:dyDescent="0.4">
      <c r="I11099" s="1"/>
    </row>
    <row r="11100" spans="9:9" x14ac:dyDescent="0.4">
      <c r="I11100" s="1"/>
    </row>
    <row r="11101" spans="9:9" x14ac:dyDescent="0.4">
      <c r="I11101" s="1"/>
    </row>
    <row r="11113" spans="6:9" x14ac:dyDescent="0.4">
      <c r="I11113" s="1"/>
    </row>
    <row r="11117" spans="6:9" x14ac:dyDescent="0.4">
      <c r="F11117" s="1"/>
    </row>
    <row r="11119" spans="6:9" x14ac:dyDescent="0.4">
      <c r="I11119" s="1"/>
    </row>
    <row r="11123" spans="6:9" x14ac:dyDescent="0.4">
      <c r="F11123" s="1"/>
    </row>
    <row r="11130" spans="6:9" x14ac:dyDescent="0.4">
      <c r="F11130" s="1"/>
    </row>
    <row r="11132" spans="6:9" x14ac:dyDescent="0.4">
      <c r="F11132" s="1"/>
    </row>
    <row r="11135" spans="6:9" x14ac:dyDescent="0.4">
      <c r="I11135" s="1"/>
    </row>
    <row r="11139" spans="9:9" x14ac:dyDescent="0.4">
      <c r="I11139" s="1"/>
    </row>
    <row r="11143" spans="9:9" x14ac:dyDescent="0.4">
      <c r="I11143" s="1"/>
    </row>
    <row r="11149" spans="9:9" x14ac:dyDescent="0.4">
      <c r="I11149" s="1"/>
    </row>
    <row r="11150" spans="9:9" x14ac:dyDescent="0.4">
      <c r="I11150" s="1"/>
    </row>
    <row r="11153" spans="6:9" x14ac:dyDescent="0.4">
      <c r="I11153" s="1"/>
    </row>
    <row r="11154" spans="6:9" x14ac:dyDescent="0.4">
      <c r="I11154" s="1"/>
    </row>
    <row r="11156" spans="6:9" x14ac:dyDescent="0.4">
      <c r="I11156" s="1"/>
    </row>
    <row r="11163" spans="6:9" x14ac:dyDescent="0.4">
      <c r="F11163" s="1"/>
    </row>
    <row r="11171" spans="6:9" x14ac:dyDescent="0.4">
      <c r="I11171" s="1"/>
    </row>
    <row r="11173" spans="6:9" x14ac:dyDescent="0.4">
      <c r="F11173" s="1"/>
    </row>
    <row r="11181" spans="6:9" x14ac:dyDescent="0.4">
      <c r="I11181" s="1"/>
    </row>
    <row r="11182" spans="6:9" x14ac:dyDescent="0.4">
      <c r="I11182" s="1"/>
    </row>
    <row r="11184" spans="6:9" x14ac:dyDescent="0.4">
      <c r="I11184" s="1"/>
    </row>
    <row r="11188" spans="9:9" x14ac:dyDescent="0.4">
      <c r="I11188" s="1"/>
    </row>
    <row r="11191" spans="9:9" x14ac:dyDescent="0.4">
      <c r="I11191" s="1"/>
    </row>
    <row r="11202" spans="9:9" x14ac:dyDescent="0.4">
      <c r="I11202" s="1"/>
    </row>
    <row r="11205" spans="9:9" x14ac:dyDescent="0.4">
      <c r="I11205" s="1"/>
    </row>
    <row r="11209" spans="9:9" x14ac:dyDescent="0.4">
      <c r="I11209" s="1"/>
    </row>
    <row r="11216" spans="9:9" x14ac:dyDescent="0.4">
      <c r="I11216" s="1"/>
    </row>
    <row r="11218" spans="9:9" x14ac:dyDescent="0.4">
      <c r="I11218" s="1"/>
    </row>
    <row r="11224" spans="9:9" x14ac:dyDescent="0.4">
      <c r="I11224" s="1"/>
    </row>
    <row r="11225" spans="9:9" x14ac:dyDescent="0.4">
      <c r="I11225" s="1"/>
    </row>
    <row r="11228" spans="9:9" x14ac:dyDescent="0.4">
      <c r="I11228" s="1"/>
    </row>
    <row r="11235" spans="9:9" x14ac:dyDescent="0.4">
      <c r="I11235" s="1"/>
    </row>
    <row r="11239" spans="9:9" x14ac:dyDescent="0.4">
      <c r="I11239" s="1"/>
    </row>
    <row r="11241" spans="9:9" x14ac:dyDescent="0.4">
      <c r="I11241" s="1"/>
    </row>
    <row r="11256" spans="9:9" x14ac:dyDescent="0.4">
      <c r="I11256" s="1"/>
    </row>
    <row r="11259" spans="9:9" x14ac:dyDescent="0.4">
      <c r="I11259" s="1"/>
    </row>
    <row r="11260" spans="9:9" x14ac:dyDescent="0.4">
      <c r="I11260" s="1"/>
    </row>
    <row r="11265" spans="9:9" x14ac:dyDescent="0.4">
      <c r="I11265" s="1"/>
    </row>
    <row r="11268" spans="9:9" x14ac:dyDescent="0.4">
      <c r="I11268" s="1"/>
    </row>
    <row r="11269" spans="9:9" x14ac:dyDescent="0.4">
      <c r="I11269" s="1"/>
    </row>
    <row r="11274" spans="9:9" x14ac:dyDescent="0.4">
      <c r="I11274" s="1"/>
    </row>
    <row r="11275" spans="9:9" x14ac:dyDescent="0.4">
      <c r="I11275" s="1"/>
    </row>
    <row r="11276" spans="9:9" x14ac:dyDescent="0.4">
      <c r="I11276" s="1"/>
    </row>
    <row r="11280" spans="9:9" x14ac:dyDescent="0.4">
      <c r="I11280" s="1"/>
    </row>
    <row r="11283" spans="9:9" x14ac:dyDescent="0.4">
      <c r="I11283" s="1"/>
    </row>
    <row r="11293" spans="9:9" x14ac:dyDescent="0.4">
      <c r="I11293" s="1"/>
    </row>
    <row r="11295" spans="9:9" x14ac:dyDescent="0.4">
      <c r="I11295" s="1"/>
    </row>
    <row r="11296" spans="9:9" x14ac:dyDescent="0.4">
      <c r="I11296" s="1"/>
    </row>
    <row r="11298" spans="9:9" x14ac:dyDescent="0.4">
      <c r="I11298" s="1"/>
    </row>
    <row r="11303" spans="9:9" x14ac:dyDescent="0.4">
      <c r="I11303" s="1"/>
    </row>
    <row r="11306" spans="9:9" x14ac:dyDescent="0.4">
      <c r="I11306" s="1"/>
    </row>
    <row r="11310" spans="9:9" x14ac:dyDescent="0.4">
      <c r="I11310" s="1"/>
    </row>
    <row r="11311" spans="9:9" x14ac:dyDescent="0.4">
      <c r="I11311" s="1"/>
    </row>
    <row r="11313" spans="9:9" x14ac:dyDescent="0.4">
      <c r="I11313" s="1"/>
    </row>
    <row r="11315" spans="9:9" x14ac:dyDescent="0.4">
      <c r="I11315" s="1"/>
    </row>
    <row r="11319" spans="9:9" x14ac:dyDescent="0.4">
      <c r="I11319" s="1"/>
    </row>
    <row r="11325" spans="9:9" x14ac:dyDescent="0.4">
      <c r="I11325" s="1"/>
    </row>
    <row r="11329" spans="9:9" x14ac:dyDescent="0.4">
      <c r="I11329" s="1"/>
    </row>
    <row r="11332" spans="9:9" x14ac:dyDescent="0.4">
      <c r="I11332" s="1"/>
    </row>
    <row r="11347" spans="9:9" x14ac:dyDescent="0.4">
      <c r="I11347" s="1"/>
    </row>
    <row r="11352" spans="9:9" x14ac:dyDescent="0.4">
      <c r="I11352" s="1"/>
    </row>
    <row r="11364" spans="9:9" x14ac:dyDescent="0.4">
      <c r="I11364" s="1"/>
    </row>
    <row r="11365" spans="9:9" x14ac:dyDescent="0.4">
      <c r="I11365" s="1"/>
    </row>
    <row r="11367" spans="9:9" x14ac:dyDescent="0.4">
      <c r="I11367" s="1"/>
    </row>
    <row r="11381" spans="9:9" x14ac:dyDescent="0.4">
      <c r="I11381" s="1"/>
    </row>
    <row r="11390" spans="9:9" x14ac:dyDescent="0.4">
      <c r="I11390" s="1"/>
    </row>
    <row r="11393" spans="9:9" x14ac:dyDescent="0.4">
      <c r="I11393" s="1"/>
    </row>
    <row r="11394" spans="9:9" x14ac:dyDescent="0.4">
      <c r="I11394" s="1"/>
    </row>
    <row r="11403" spans="9:9" x14ac:dyDescent="0.4">
      <c r="I11403" s="1"/>
    </row>
    <row r="11406" spans="9:9" x14ac:dyDescent="0.4">
      <c r="I11406" s="1"/>
    </row>
    <row r="11411" spans="9:9" x14ac:dyDescent="0.4">
      <c r="I11411" s="1"/>
    </row>
    <row r="11413" spans="9:9" x14ac:dyDescent="0.4">
      <c r="I11413" s="1"/>
    </row>
    <row r="11416" spans="9:9" x14ac:dyDescent="0.4">
      <c r="I11416" s="1"/>
    </row>
    <row r="11418" spans="9:9" x14ac:dyDescent="0.4">
      <c r="I11418" s="1"/>
    </row>
    <row r="11420" spans="9:9" x14ac:dyDescent="0.4">
      <c r="I11420" s="1"/>
    </row>
    <row r="11424" spans="9:9" x14ac:dyDescent="0.4">
      <c r="I11424" s="1"/>
    </row>
    <row r="11432" spans="9:9" x14ac:dyDescent="0.4">
      <c r="I11432" s="1"/>
    </row>
    <row r="11434" spans="9:9" x14ac:dyDescent="0.4">
      <c r="I11434" s="1"/>
    </row>
    <row r="11443" spans="9:9" x14ac:dyDescent="0.4">
      <c r="I11443" s="1"/>
    </row>
    <row r="11444" spans="9:9" x14ac:dyDescent="0.4">
      <c r="I11444" s="1"/>
    </row>
    <row r="11454" spans="9:9" x14ac:dyDescent="0.4">
      <c r="I11454" s="1"/>
    </row>
    <row r="11456" spans="9:9" x14ac:dyDescent="0.4">
      <c r="I11456" s="1"/>
    </row>
    <row r="11462" spans="9:9" x14ac:dyDescent="0.4">
      <c r="I11462" s="1"/>
    </row>
    <row r="11463" spans="9:9" x14ac:dyDescent="0.4">
      <c r="I11463" s="1"/>
    </row>
    <row r="11465" spans="9:9" x14ac:dyDescent="0.4">
      <c r="I11465" s="1"/>
    </row>
    <row r="11466" spans="9:9" x14ac:dyDescent="0.4">
      <c r="I11466" s="1"/>
    </row>
    <row r="11469" spans="9:9" x14ac:dyDescent="0.4">
      <c r="I11469" s="1"/>
    </row>
    <row r="11477" spans="9:9" x14ac:dyDescent="0.4">
      <c r="I11477" s="1"/>
    </row>
    <row r="11479" spans="9:9" x14ac:dyDescent="0.4">
      <c r="I11479" s="1"/>
    </row>
    <row r="11480" spans="9:9" x14ac:dyDescent="0.4">
      <c r="I11480" s="1"/>
    </row>
    <row r="11481" spans="9:9" x14ac:dyDescent="0.4">
      <c r="I11481" s="1"/>
    </row>
    <row r="11482" spans="9:9" x14ac:dyDescent="0.4">
      <c r="I11482" s="1"/>
    </row>
    <row r="11496" spans="9:9" x14ac:dyDescent="0.4">
      <c r="I11496" s="1"/>
    </row>
    <row r="11502" spans="9:9" x14ac:dyDescent="0.4">
      <c r="I11502" s="1"/>
    </row>
    <row r="11504" spans="9:9" x14ac:dyDescent="0.4">
      <c r="I11504" s="1"/>
    </row>
    <row r="11509" spans="9:9" x14ac:dyDescent="0.4">
      <c r="I11509" s="1"/>
    </row>
    <row r="11510" spans="9:9" x14ac:dyDescent="0.4">
      <c r="I11510" s="1"/>
    </row>
    <row r="11514" spans="9:9" x14ac:dyDescent="0.4">
      <c r="I11514" s="1"/>
    </row>
    <row r="11517" spans="9:9" x14ac:dyDescent="0.4">
      <c r="I11517" s="1"/>
    </row>
    <row r="11520" spans="9:9" x14ac:dyDescent="0.4">
      <c r="I11520" s="1"/>
    </row>
    <row r="11522" spans="9:9" x14ac:dyDescent="0.4">
      <c r="I11522" s="1"/>
    </row>
    <row r="11523" spans="9:9" x14ac:dyDescent="0.4">
      <c r="I11523" s="1"/>
    </row>
    <row r="11524" spans="9:9" x14ac:dyDescent="0.4">
      <c r="I11524" s="1"/>
    </row>
    <row r="11525" spans="9:9" x14ac:dyDescent="0.4">
      <c r="I11525" s="1"/>
    </row>
    <row r="11534" spans="9:9" x14ac:dyDescent="0.4">
      <c r="I11534" s="1"/>
    </row>
    <row r="11541" spans="9:9" x14ac:dyDescent="0.4">
      <c r="I11541" s="1"/>
    </row>
    <row r="11544" spans="9:9" x14ac:dyDescent="0.4">
      <c r="I11544" s="1"/>
    </row>
    <row r="11549" spans="9:9" x14ac:dyDescent="0.4">
      <c r="I11549" s="1"/>
    </row>
    <row r="11551" spans="9:9" x14ac:dyDescent="0.4">
      <c r="I11551" s="1"/>
    </row>
    <row r="11558" spans="9:9" x14ac:dyDescent="0.4">
      <c r="I11558" s="1"/>
    </row>
    <row r="11571" spans="6:9" x14ac:dyDescent="0.4">
      <c r="I11571" s="1"/>
    </row>
    <row r="11580" spans="6:9" x14ac:dyDescent="0.4">
      <c r="I11580" s="1"/>
    </row>
    <row r="11582" spans="6:9" x14ac:dyDescent="0.4">
      <c r="F11582" s="1"/>
      <c r="I11582" s="1"/>
    </row>
    <row r="11583" spans="6:9" x14ac:dyDescent="0.4">
      <c r="I11583" s="1"/>
    </row>
    <row r="11591" spans="6:9" x14ac:dyDescent="0.4">
      <c r="I11591" s="1"/>
    </row>
    <row r="11593" spans="6:9" x14ac:dyDescent="0.4">
      <c r="I11593" s="1"/>
    </row>
    <row r="11597" spans="6:9" x14ac:dyDescent="0.4">
      <c r="F11597" s="1"/>
    </row>
    <row r="11598" spans="6:9" x14ac:dyDescent="0.4">
      <c r="I11598" s="1"/>
    </row>
    <row r="11601" spans="9:9" x14ac:dyDescent="0.4">
      <c r="I11601" s="1"/>
    </row>
    <row r="11602" spans="9:9" x14ac:dyDescent="0.4">
      <c r="I11602" s="1"/>
    </row>
    <row r="11612" spans="9:9" x14ac:dyDescent="0.4">
      <c r="I11612" s="1"/>
    </row>
    <row r="11615" spans="9:9" x14ac:dyDescent="0.4">
      <c r="I11615" s="1"/>
    </row>
    <row r="11617" spans="9:9" x14ac:dyDescent="0.4">
      <c r="I11617" s="1"/>
    </row>
    <row r="11624" spans="9:9" x14ac:dyDescent="0.4">
      <c r="I11624" s="1"/>
    </row>
    <row r="11628" spans="9:9" x14ac:dyDescent="0.4">
      <c r="I11628" s="1"/>
    </row>
    <row r="11641" spans="9:9" x14ac:dyDescent="0.4">
      <c r="I11641" s="1"/>
    </row>
    <row r="11651" spans="9:9" x14ac:dyDescent="0.4">
      <c r="I11651" s="1"/>
    </row>
    <row r="11652" spans="9:9" x14ac:dyDescent="0.4">
      <c r="I11652" s="1"/>
    </row>
    <row r="11654" spans="9:9" x14ac:dyDescent="0.4">
      <c r="I11654" s="1"/>
    </row>
    <row r="11655" spans="9:9" x14ac:dyDescent="0.4">
      <c r="I11655" s="1"/>
    </row>
    <row r="11659" spans="9:9" x14ac:dyDescent="0.4">
      <c r="I11659" s="1"/>
    </row>
    <row r="11660" spans="9:9" x14ac:dyDescent="0.4">
      <c r="I11660" s="1"/>
    </row>
    <row r="11661" spans="9:9" x14ac:dyDescent="0.4">
      <c r="I11661" s="1"/>
    </row>
    <row r="11662" spans="9:9" x14ac:dyDescent="0.4">
      <c r="I11662" s="1"/>
    </row>
    <row r="11671" spans="9:9" x14ac:dyDescent="0.4">
      <c r="I11671" s="1"/>
    </row>
    <row r="11676" spans="9:9" x14ac:dyDescent="0.4">
      <c r="I11676" s="1"/>
    </row>
    <row r="11678" spans="9:9" x14ac:dyDescent="0.4">
      <c r="I11678" s="1"/>
    </row>
    <row r="11679" spans="9:9" x14ac:dyDescent="0.4">
      <c r="I11679" s="1"/>
    </row>
    <row r="11684" spans="9:9" x14ac:dyDescent="0.4">
      <c r="I11684" s="1"/>
    </row>
    <row r="11687" spans="9:9" x14ac:dyDescent="0.4">
      <c r="I11687" s="1"/>
    </row>
    <row r="11691" spans="9:9" x14ac:dyDescent="0.4">
      <c r="I11691" s="1"/>
    </row>
    <row r="11693" spans="9:9" x14ac:dyDescent="0.4">
      <c r="I11693" s="1"/>
    </row>
    <row r="11705" spans="9:9" x14ac:dyDescent="0.4">
      <c r="I11705" s="1"/>
    </row>
    <row r="11707" spans="9:9" x14ac:dyDescent="0.4">
      <c r="I11707" s="1"/>
    </row>
    <row r="11709" spans="9:9" x14ac:dyDescent="0.4">
      <c r="I11709" s="1"/>
    </row>
    <row r="11719" spans="9:9" x14ac:dyDescent="0.4">
      <c r="I11719" s="1"/>
    </row>
    <row r="11727" spans="9:9" x14ac:dyDescent="0.4">
      <c r="I11727" s="1"/>
    </row>
    <row r="11742" spans="9:9" x14ac:dyDescent="0.4">
      <c r="I11742" s="1"/>
    </row>
    <row r="11744" spans="9:9" x14ac:dyDescent="0.4">
      <c r="I11744" s="1"/>
    </row>
    <row r="11746" spans="9:9" x14ac:dyDescent="0.4">
      <c r="I11746" s="1"/>
    </row>
    <row r="11750" spans="9:9" x14ac:dyDescent="0.4">
      <c r="I11750" s="1"/>
    </row>
    <row r="11752" spans="9:9" x14ac:dyDescent="0.4">
      <c r="I11752" s="1"/>
    </row>
    <row r="11753" spans="9:9" x14ac:dyDescent="0.4">
      <c r="I11753" s="1"/>
    </row>
    <row r="11757" spans="9:9" x14ac:dyDescent="0.4">
      <c r="I11757" s="1"/>
    </row>
    <row r="11767" spans="9:9" x14ac:dyDescent="0.4">
      <c r="I11767" s="1"/>
    </row>
    <row r="11774" spans="9:9" x14ac:dyDescent="0.4">
      <c r="I11774" s="1"/>
    </row>
    <row r="11782" spans="9:9" x14ac:dyDescent="0.4">
      <c r="I11782" s="1"/>
    </row>
    <row r="11799" spans="9:9" x14ac:dyDescent="0.4">
      <c r="I11799" s="1"/>
    </row>
    <row r="11801" spans="9:9" x14ac:dyDescent="0.4">
      <c r="I11801" s="1"/>
    </row>
    <row r="11803" spans="9:9" x14ac:dyDescent="0.4">
      <c r="I11803" s="1"/>
    </row>
    <row r="11807" spans="9:9" x14ac:dyDescent="0.4">
      <c r="I11807" s="1"/>
    </row>
    <row r="11815" spans="9:9" x14ac:dyDescent="0.4">
      <c r="I11815" s="1"/>
    </row>
    <row r="11816" spans="9:9" x14ac:dyDescent="0.4">
      <c r="I11816" s="1"/>
    </row>
    <row r="11820" spans="9:9" x14ac:dyDescent="0.4">
      <c r="I11820" s="1"/>
    </row>
    <row r="11840" spans="9:9" x14ac:dyDescent="0.4">
      <c r="I11840" s="1"/>
    </row>
    <row r="11841" spans="9:9" x14ac:dyDescent="0.4">
      <c r="I11841" s="1"/>
    </row>
    <row r="11842" spans="9:9" x14ac:dyDescent="0.4">
      <c r="I11842" s="1"/>
    </row>
    <row r="11849" spans="9:9" x14ac:dyDescent="0.4">
      <c r="I11849" s="1"/>
    </row>
    <row r="11851" spans="9:9" x14ac:dyDescent="0.4">
      <c r="I11851" s="1"/>
    </row>
    <row r="11854" spans="9:9" x14ac:dyDescent="0.4">
      <c r="I11854" s="1"/>
    </row>
    <row r="11860" spans="9:9" x14ac:dyDescent="0.4">
      <c r="I11860" s="1"/>
    </row>
    <row r="11862" spans="9:9" x14ac:dyDescent="0.4">
      <c r="I11862" s="1"/>
    </row>
    <row r="11869" spans="9:9" x14ac:dyDescent="0.4">
      <c r="I11869" s="1"/>
    </row>
    <row r="11875" spans="9:9" x14ac:dyDescent="0.4">
      <c r="I11875" s="1"/>
    </row>
    <row r="11876" spans="9:9" x14ac:dyDescent="0.4">
      <c r="I11876" s="1"/>
    </row>
    <row r="11878" spans="9:9" x14ac:dyDescent="0.4">
      <c r="I11878" s="1"/>
    </row>
    <row r="11888" spans="9:9" x14ac:dyDescent="0.4">
      <c r="I11888" s="1"/>
    </row>
    <row r="11889" spans="9:9" x14ac:dyDescent="0.4">
      <c r="I11889" s="1"/>
    </row>
    <row r="11897" spans="9:9" x14ac:dyDescent="0.4">
      <c r="I11897" s="1"/>
    </row>
    <row r="11900" spans="9:9" x14ac:dyDescent="0.4">
      <c r="I11900" s="1"/>
    </row>
    <row r="11915" spans="9:9" x14ac:dyDescent="0.4">
      <c r="I11915" s="1"/>
    </row>
    <row r="11916" spans="9:9" x14ac:dyDescent="0.4">
      <c r="I11916" s="1"/>
    </row>
    <row r="11931" spans="9:9" x14ac:dyDescent="0.4">
      <c r="I11931" s="1"/>
    </row>
    <row r="11937" spans="9:9" x14ac:dyDescent="0.4">
      <c r="I11937" s="1"/>
    </row>
    <row r="11944" spans="9:9" x14ac:dyDescent="0.4">
      <c r="I11944" s="1"/>
    </row>
    <row r="11948" spans="9:9" x14ac:dyDescent="0.4">
      <c r="I11948" s="1"/>
    </row>
    <row r="11949" spans="9:9" x14ac:dyDescent="0.4">
      <c r="I11949" s="1"/>
    </row>
    <row r="11950" spans="9:9" x14ac:dyDescent="0.4">
      <c r="I11950" s="1"/>
    </row>
    <row r="11953" spans="9:9" x14ac:dyDescent="0.4">
      <c r="I11953" s="1"/>
    </row>
    <row r="11961" spans="9:9" x14ac:dyDescent="0.4">
      <c r="I11961" s="1"/>
    </row>
    <row r="11965" spans="9:9" x14ac:dyDescent="0.4">
      <c r="I11965" s="1"/>
    </row>
    <row r="11966" spans="9:9" x14ac:dyDescent="0.4">
      <c r="I11966" s="1"/>
    </row>
    <row r="11972" spans="9:9" x14ac:dyDescent="0.4">
      <c r="I11972" s="1"/>
    </row>
    <row r="11973" spans="9:9" x14ac:dyDescent="0.4">
      <c r="I11973" s="1"/>
    </row>
    <row r="11977" spans="9:9" x14ac:dyDescent="0.4">
      <c r="I11977" s="1"/>
    </row>
    <row r="11980" spans="9:9" x14ac:dyDescent="0.4">
      <c r="I11980" s="1"/>
    </row>
    <row r="11982" spans="9:9" x14ac:dyDescent="0.4">
      <c r="I11982" s="1"/>
    </row>
    <row r="11983" spans="9:9" x14ac:dyDescent="0.4">
      <c r="I11983" s="1"/>
    </row>
    <row r="11985" spans="9:9" x14ac:dyDescent="0.4">
      <c r="I11985" s="1"/>
    </row>
    <row r="11993" spans="9:9" x14ac:dyDescent="0.4">
      <c r="I11993" s="1"/>
    </row>
    <row r="11995" spans="9:9" x14ac:dyDescent="0.4">
      <c r="I11995" s="1"/>
    </row>
    <row r="11999" spans="9:9" x14ac:dyDescent="0.4">
      <c r="I11999" s="1"/>
    </row>
    <row r="12001" spans="9:9" x14ac:dyDescent="0.4">
      <c r="I12001" s="1"/>
    </row>
    <row r="12003" spans="9:9" x14ac:dyDescent="0.4">
      <c r="I12003" s="1"/>
    </row>
    <row r="12005" spans="9:9" x14ac:dyDescent="0.4">
      <c r="I12005" s="1"/>
    </row>
    <row r="12008" spans="9:9" x14ac:dyDescent="0.4">
      <c r="I12008" s="1"/>
    </row>
    <row r="12012" spans="9:9" x14ac:dyDescent="0.4">
      <c r="I12012" s="1"/>
    </row>
    <row r="12015" spans="9:9" x14ac:dyDescent="0.4">
      <c r="I12015" s="1"/>
    </row>
    <row r="12017" spans="9:9" x14ac:dyDescent="0.4">
      <c r="I12017" s="1"/>
    </row>
    <row r="12018" spans="9:9" x14ac:dyDescent="0.4">
      <c r="I12018" s="1"/>
    </row>
    <row r="12019" spans="9:9" x14ac:dyDescent="0.4">
      <c r="I12019" s="1"/>
    </row>
    <row r="12021" spans="9:9" x14ac:dyDescent="0.4">
      <c r="I12021" s="1"/>
    </row>
    <row r="12022" spans="9:9" x14ac:dyDescent="0.4">
      <c r="I12022" s="1"/>
    </row>
    <row r="12023" spans="9:9" x14ac:dyDescent="0.4">
      <c r="I12023" s="1"/>
    </row>
    <row r="12025" spans="9:9" x14ac:dyDescent="0.4">
      <c r="I12025" s="1"/>
    </row>
    <row r="12028" spans="9:9" x14ac:dyDescent="0.4">
      <c r="I12028" s="1"/>
    </row>
    <row r="12031" spans="9:9" x14ac:dyDescent="0.4">
      <c r="I12031" s="1"/>
    </row>
    <row r="12032" spans="9:9" x14ac:dyDescent="0.4">
      <c r="I12032" s="1"/>
    </row>
    <row r="12037" spans="9:9" x14ac:dyDescent="0.4">
      <c r="I12037" s="1"/>
    </row>
    <row r="12042" spans="9:9" x14ac:dyDescent="0.4">
      <c r="I12042" s="1"/>
    </row>
    <row r="12049" spans="9:9" x14ac:dyDescent="0.4">
      <c r="I12049" s="1"/>
    </row>
    <row r="12052" spans="9:9" x14ac:dyDescent="0.4">
      <c r="I12052" s="1"/>
    </row>
    <row r="12053" spans="9:9" x14ac:dyDescent="0.4">
      <c r="I12053" s="1"/>
    </row>
    <row r="12058" spans="9:9" x14ac:dyDescent="0.4">
      <c r="I12058" s="1"/>
    </row>
    <row r="12061" spans="9:9" x14ac:dyDescent="0.4">
      <c r="I12061" s="1"/>
    </row>
    <row r="12064" spans="9:9" x14ac:dyDescent="0.4">
      <c r="I12064" s="1"/>
    </row>
    <row r="12065" spans="9:9" x14ac:dyDescent="0.4">
      <c r="I12065" s="1"/>
    </row>
    <row r="12068" spans="9:9" x14ac:dyDescent="0.4">
      <c r="I12068" s="1"/>
    </row>
    <row r="12070" spans="9:9" x14ac:dyDescent="0.4">
      <c r="I12070" s="1"/>
    </row>
    <row r="12072" spans="9:9" x14ac:dyDescent="0.4">
      <c r="I12072" s="1"/>
    </row>
    <row r="12076" spans="9:9" x14ac:dyDescent="0.4">
      <c r="I12076" s="1"/>
    </row>
    <row r="12084" spans="9:9" x14ac:dyDescent="0.4">
      <c r="I12084" s="1"/>
    </row>
    <row r="12088" spans="9:9" x14ac:dyDescent="0.4">
      <c r="I12088" s="1"/>
    </row>
    <row r="12089" spans="9:9" x14ac:dyDescent="0.4">
      <c r="I12089" s="1"/>
    </row>
    <row r="12093" spans="9:9" x14ac:dyDescent="0.4">
      <c r="I12093" s="1"/>
    </row>
    <row r="12097" spans="9:9" x14ac:dyDescent="0.4">
      <c r="I12097" s="1"/>
    </row>
    <row r="12099" spans="9:9" x14ac:dyDescent="0.4">
      <c r="I12099" s="1"/>
    </row>
    <row r="12100" spans="9:9" x14ac:dyDescent="0.4">
      <c r="I12100" s="1"/>
    </row>
    <row r="12102" spans="9:9" x14ac:dyDescent="0.4">
      <c r="I12102" s="1"/>
    </row>
    <row r="12105" spans="9:9" x14ac:dyDescent="0.4">
      <c r="I12105" s="1"/>
    </row>
    <row r="12108" spans="9:9" x14ac:dyDescent="0.4">
      <c r="I12108" s="1"/>
    </row>
    <row r="12117" spans="9:9" x14ac:dyDescent="0.4">
      <c r="I12117" s="1"/>
    </row>
    <row r="12119" spans="9:9" x14ac:dyDescent="0.4">
      <c r="I12119" s="1"/>
    </row>
    <row r="12120" spans="9:9" x14ac:dyDescent="0.4">
      <c r="I12120" s="1"/>
    </row>
    <row r="12121" spans="9:9" x14ac:dyDescent="0.4">
      <c r="I12121" s="1"/>
    </row>
    <row r="12122" spans="9:9" x14ac:dyDescent="0.4">
      <c r="I12122" s="1"/>
    </row>
    <row r="12124" spans="9:9" x14ac:dyDescent="0.4">
      <c r="I12124" s="1"/>
    </row>
    <row r="12131" spans="9:9" x14ac:dyDescent="0.4">
      <c r="I12131" s="1"/>
    </row>
    <row r="12134" spans="9:9" x14ac:dyDescent="0.4">
      <c r="I12134" s="1"/>
    </row>
    <row r="12135" spans="9:9" x14ac:dyDescent="0.4">
      <c r="I12135" s="1"/>
    </row>
    <row r="12136" spans="9:9" x14ac:dyDescent="0.4">
      <c r="I12136" s="1"/>
    </row>
    <row r="12139" spans="9:9" x14ac:dyDescent="0.4">
      <c r="I12139" s="1"/>
    </row>
    <row r="12146" spans="9:9" x14ac:dyDescent="0.4">
      <c r="I12146" s="1"/>
    </row>
    <row r="12147" spans="9:9" x14ac:dyDescent="0.4">
      <c r="I12147" s="1"/>
    </row>
    <row r="12148" spans="9:9" x14ac:dyDescent="0.4">
      <c r="I12148" s="1"/>
    </row>
    <row r="12149" spans="9:9" x14ac:dyDescent="0.4">
      <c r="I12149" s="1"/>
    </row>
    <row r="12156" spans="9:9" x14ac:dyDescent="0.4">
      <c r="I12156" s="1"/>
    </row>
    <row r="12157" spans="9:9" x14ac:dyDescent="0.4">
      <c r="I12157" s="1"/>
    </row>
    <row r="12159" spans="9:9" x14ac:dyDescent="0.4">
      <c r="I12159" s="1"/>
    </row>
    <row r="12161" spans="9:9" x14ac:dyDescent="0.4">
      <c r="I12161" s="1"/>
    </row>
    <row r="12166" spans="9:9" x14ac:dyDescent="0.4">
      <c r="I12166" s="1"/>
    </row>
    <row r="12171" spans="9:9" x14ac:dyDescent="0.4">
      <c r="I12171" s="1"/>
    </row>
    <row r="12172" spans="9:9" x14ac:dyDescent="0.4">
      <c r="I12172" s="1"/>
    </row>
    <row r="12174" spans="9:9" x14ac:dyDescent="0.4">
      <c r="I12174" s="1"/>
    </row>
    <row r="12178" spans="9:9" x14ac:dyDescent="0.4">
      <c r="I12178" s="1"/>
    </row>
    <row r="12186" spans="9:9" x14ac:dyDescent="0.4">
      <c r="I12186" s="1"/>
    </row>
    <row r="12187" spans="9:9" x14ac:dyDescent="0.4">
      <c r="I12187" s="1"/>
    </row>
    <row r="12189" spans="9:9" x14ac:dyDescent="0.4">
      <c r="I12189" s="1"/>
    </row>
    <row r="12190" spans="9:9" x14ac:dyDescent="0.4">
      <c r="I12190" s="1"/>
    </row>
    <row r="12200" spans="9:9" x14ac:dyDescent="0.4">
      <c r="I12200" s="1"/>
    </row>
    <row r="12201" spans="9:9" x14ac:dyDescent="0.4">
      <c r="I12201" s="1"/>
    </row>
    <row r="12204" spans="9:9" x14ac:dyDescent="0.4">
      <c r="I12204" s="1"/>
    </row>
    <row r="12206" spans="9:9" x14ac:dyDescent="0.4">
      <c r="I12206" s="1"/>
    </row>
    <row r="12207" spans="9:9" x14ac:dyDescent="0.4">
      <c r="I12207" s="1"/>
    </row>
    <row r="12211" spans="9:9" x14ac:dyDescent="0.4">
      <c r="I12211" s="1"/>
    </row>
    <row r="12213" spans="9:9" x14ac:dyDescent="0.4">
      <c r="I12213" s="1"/>
    </row>
    <row r="12216" spans="9:9" x14ac:dyDescent="0.4">
      <c r="I12216" s="1"/>
    </row>
    <row r="12218" spans="9:9" x14ac:dyDescent="0.4">
      <c r="I12218" s="1"/>
    </row>
    <row r="12219" spans="9:9" x14ac:dyDescent="0.4">
      <c r="I12219" s="1"/>
    </row>
    <row r="12220" spans="9:9" x14ac:dyDescent="0.4">
      <c r="I12220" s="1"/>
    </row>
    <row r="12223" spans="9:9" x14ac:dyDescent="0.4">
      <c r="I12223" s="1"/>
    </row>
    <row r="12224" spans="9:9" x14ac:dyDescent="0.4">
      <c r="I12224" s="1"/>
    </row>
    <row r="12225" spans="6:9" x14ac:dyDescent="0.4">
      <c r="I12225" s="1"/>
    </row>
    <row r="12227" spans="6:9" x14ac:dyDescent="0.4">
      <c r="I12227" s="1"/>
    </row>
    <row r="12228" spans="6:9" x14ac:dyDescent="0.4">
      <c r="F12228" s="1"/>
    </row>
    <row r="12232" spans="6:9" x14ac:dyDescent="0.4">
      <c r="I12232" s="1"/>
    </row>
    <row r="12236" spans="6:9" x14ac:dyDescent="0.4">
      <c r="I12236" s="1"/>
    </row>
    <row r="12239" spans="6:9" x14ac:dyDescent="0.4">
      <c r="I12239" s="1"/>
    </row>
    <row r="12240" spans="6:9" x14ac:dyDescent="0.4">
      <c r="I12240" s="1"/>
    </row>
    <row r="12243" spans="6:9" x14ac:dyDescent="0.4">
      <c r="F12243" s="1"/>
    </row>
    <row r="12245" spans="6:9" x14ac:dyDescent="0.4">
      <c r="F12245" s="1"/>
    </row>
    <row r="12247" spans="6:9" x14ac:dyDescent="0.4">
      <c r="I12247" s="1"/>
    </row>
    <row r="12252" spans="6:9" x14ac:dyDescent="0.4">
      <c r="F12252" s="1"/>
      <c r="I12252" s="1"/>
    </row>
    <row r="12254" spans="6:9" x14ac:dyDescent="0.4">
      <c r="F12254" s="1"/>
    </row>
    <row r="12257" spans="6:9" x14ac:dyDescent="0.4">
      <c r="F12257" s="1"/>
      <c r="I12257" s="1"/>
    </row>
    <row r="12259" spans="6:9" x14ac:dyDescent="0.4">
      <c r="F12259" s="1"/>
      <c r="I12259" s="1"/>
    </row>
    <row r="12266" spans="6:9" x14ac:dyDescent="0.4">
      <c r="I12266" s="1"/>
    </row>
    <row r="12267" spans="6:9" x14ac:dyDescent="0.4">
      <c r="F12267" s="1"/>
      <c r="I12267" s="1"/>
    </row>
    <row r="12279" spans="9:9" x14ac:dyDescent="0.4">
      <c r="I12279" s="1"/>
    </row>
    <row r="12293" spans="9:9" x14ac:dyDescent="0.4">
      <c r="I12293" s="1"/>
    </row>
    <row r="12305" spans="9:9" x14ac:dyDescent="0.4">
      <c r="I12305" s="1"/>
    </row>
    <row r="12312" spans="9:9" x14ac:dyDescent="0.4">
      <c r="I12312" s="1"/>
    </row>
    <row r="12313" spans="9:9" x14ac:dyDescent="0.4">
      <c r="I12313" s="1"/>
    </row>
    <row r="12318" spans="9:9" x14ac:dyDescent="0.4">
      <c r="I12318" s="1"/>
    </row>
    <row r="12333" spans="9:9" x14ac:dyDescent="0.4">
      <c r="I12333" s="1"/>
    </row>
    <row r="12343" spans="9:9" x14ac:dyDescent="0.4">
      <c r="I12343" s="1"/>
    </row>
    <row r="12345" spans="9:9" x14ac:dyDescent="0.4">
      <c r="I12345" s="1"/>
    </row>
    <row r="12356" spans="9:9" x14ac:dyDescent="0.4">
      <c r="I12356" s="1"/>
    </row>
    <row r="12362" spans="9:9" x14ac:dyDescent="0.4">
      <c r="I12362" s="1"/>
    </row>
    <row r="12364" spans="9:9" x14ac:dyDescent="0.4">
      <c r="I12364" s="1"/>
    </row>
    <row r="12428" spans="9:9" x14ac:dyDescent="0.4">
      <c r="I12428" s="1"/>
    </row>
    <row r="12438" spans="9:9" x14ac:dyDescent="0.4">
      <c r="I12438" s="1"/>
    </row>
    <row r="12439" spans="9:9" x14ac:dyDescent="0.4">
      <c r="I12439" s="1"/>
    </row>
    <row r="12440" spans="9:9" x14ac:dyDescent="0.4">
      <c r="I12440" s="1"/>
    </row>
    <row r="12444" spans="9:9" x14ac:dyDescent="0.4">
      <c r="I12444" s="1"/>
    </row>
    <row r="12446" spans="9:9" x14ac:dyDescent="0.4">
      <c r="I12446" s="1"/>
    </row>
    <row r="12449" spans="9:9" x14ac:dyDescent="0.4">
      <c r="I12449" s="1"/>
    </row>
    <row r="12458" spans="9:9" x14ac:dyDescent="0.4">
      <c r="I12458" s="1"/>
    </row>
    <row r="12472" spans="9:9" x14ac:dyDescent="0.4">
      <c r="I12472" s="1"/>
    </row>
    <row r="12473" spans="9:9" x14ac:dyDescent="0.4">
      <c r="I12473" s="1"/>
    </row>
    <row r="12474" spans="9:9" x14ac:dyDescent="0.4">
      <c r="I12474" s="1"/>
    </row>
    <row r="12475" spans="9:9" x14ac:dyDescent="0.4">
      <c r="I12475" s="1"/>
    </row>
    <row r="12478" spans="9:9" x14ac:dyDescent="0.4">
      <c r="I12478" s="1"/>
    </row>
    <row r="12480" spans="9:9" x14ac:dyDescent="0.4">
      <c r="I12480" s="1"/>
    </row>
    <row r="12482" spans="9:9" x14ac:dyDescent="0.4">
      <c r="I12482" s="1"/>
    </row>
    <row r="12484" spans="9:9" x14ac:dyDescent="0.4">
      <c r="I12484" s="1"/>
    </row>
    <row r="12485" spans="9:9" x14ac:dyDescent="0.4">
      <c r="I12485" s="1"/>
    </row>
    <row r="12487" spans="9:9" x14ac:dyDescent="0.4">
      <c r="I12487" s="1"/>
    </row>
    <row r="12491" spans="9:9" x14ac:dyDescent="0.4">
      <c r="I12491" s="1"/>
    </row>
    <row r="12492" spans="9:9" x14ac:dyDescent="0.4">
      <c r="I12492" s="1"/>
    </row>
    <row r="12499" spans="9:9" x14ac:dyDescent="0.4">
      <c r="I12499" s="1"/>
    </row>
    <row r="12502" spans="9:9" x14ac:dyDescent="0.4">
      <c r="I12502" s="1"/>
    </row>
    <row r="12507" spans="9:9" x14ac:dyDescent="0.4">
      <c r="I12507" s="1"/>
    </row>
    <row r="12508" spans="9:9" x14ac:dyDescent="0.4">
      <c r="I12508" s="1"/>
    </row>
    <row r="12509" spans="9:9" x14ac:dyDescent="0.4">
      <c r="I12509" s="1"/>
    </row>
    <row r="12512" spans="9:9" x14ac:dyDescent="0.4">
      <c r="I12512" s="1"/>
    </row>
    <row r="12514" spans="9:9" x14ac:dyDescent="0.4">
      <c r="I12514" s="1"/>
    </row>
    <row r="12515" spans="9:9" x14ac:dyDescent="0.4">
      <c r="I12515" s="1"/>
    </row>
    <row r="12516" spans="9:9" x14ac:dyDescent="0.4">
      <c r="I12516" s="1"/>
    </row>
    <row r="12521" spans="9:9" x14ac:dyDescent="0.4">
      <c r="I12521" s="1"/>
    </row>
    <row r="12522" spans="9:9" x14ac:dyDescent="0.4">
      <c r="I12522" s="1"/>
    </row>
    <row r="12533" spans="9:9" x14ac:dyDescent="0.4">
      <c r="I12533" s="1"/>
    </row>
    <row r="12536" spans="9:9" x14ac:dyDescent="0.4">
      <c r="I12536" s="1"/>
    </row>
    <row r="12539" spans="9:9" x14ac:dyDescent="0.4">
      <c r="I12539" s="1"/>
    </row>
    <row r="12541" spans="9:9" x14ac:dyDescent="0.4">
      <c r="I12541" s="1"/>
    </row>
    <row r="12548" spans="9:9" x14ac:dyDescent="0.4">
      <c r="I12548" s="1"/>
    </row>
    <row r="12549" spans="9:9" x14ac:dyDescent="0.4">
      <c r="I12549" s="1"/>
    </row>
    <row r="12554" spans="9:9" x14ac:dyDescent="0.4">
      <c r="I12554" s="1"/>
    </row>
    <row r="12558" spans="9:9" x14ac:dyDescent="0.4">
      <c r="I12558" s="1"/>
    </row>
    <row r="12564" spans="9:9" x14ac:dyDescent="0.4">
      <c r="I12564" s="1"/>
    </row>
    <row r="12565" spans="9:9" x14ac:dyDescent="0.4">
      <c r="I12565" s="1"/>
    </row>
    <row r="12575" spans="9:9" x14ac:dyDescent="0.4">
      <c r="I12575" s="1"/>
    </row>
    <row r="12579" spans="9:9" x14ac:dyDescent="0.4">
      <c r="I12579" s="1"/>
    </row>
    <row r="12588" spans="9:9" x14ac:dyDescent="0.4">
      <c r="I12588" s="1"/>
    </row>
    <row r="12589" spans="9:9" x14ac:dyDescent="0.4">
      <c r="I12589" s="1"/>
    </row>
    <row r="12590" spans="9:9" x14ac:dyDescent="0.4">
      <c r="I12590" s="1"/>
    </row>
    <row r="12594" spans="9:9" x14ac:dyDescent="0.4">
      <c r="I12594" s="1"/>
    </row>
    <row r="12595" spans="9:9" x14ac:dyDescent="0.4">
      <c r="I12595" s="1"/>
    </row>
    <row r="12596" spans="9:9" x14ac:dyDescent="0.4">
      <c r="I12596" s="1"/>
    </row>
    <row r="12600" spans="9:9" x14ac:dyDescent="0.4">
      <c r="I12600" s="1"/>
    </row>
    <row r="12603" spans="9:9" x14ac:dyDescent="0.4">
      <c r="I12603" s="1"/>
    </row>
    <row r="12616" spans="9:9" x14ac:dyDescent="0.4">
      <c r="I12616" s="1"/>
    </row>
    <row r="12620" spans="9:9" x14ac:dyDescent="0.4">
      <c r="I12620" s="1"/>
    </row>
    <row r="12623" spans="9:9" x14ac:dyDescent="0.4">
      <c r="I12623" s="1"/>
    </row>
    <row r="12629" spans="9:9" x14ac:dyDescent="0.4">
      <c r="I12629" s="1"/>
    </row>
    <row r="12631" spans="9:9" x14ac:dyDescent="0.4">
      <c r="I12631" s="1"/>
    </row>
    <row r="12633" spans="9:9" x14ac:dyDescent="0.4">
      <c r="I12633" s="1"/>
    </row>
    <row r="12640" spans="9:9" x14ac:dyDescent="0.4">
      <c r="I12640" s="1"/>
    </row>
    <row r="12659" spans="9:9" x14ac:dyDescent="0.4">
      <c r="I12659" s="1"/>
    </row>
    <row r="12660" spans="9:9" x14ac:dyDescent="0.4">
      <c r="I12660" s="1"/>
    </row>
    <row r="12673" spans="9:9" x14ac:dyDescent="0.4">
      <c r="I12673" s="1"/>
    </row>
    <row r="12681" spans="9:9" x14ac:dyDescent="0.4">
      <c r="I12681" s="1"/>
    </row>
    <row r="12720" spans="9:9" x14ac:dyDescent="0.4">
      <c r="I12720" s="1"/>
    </row>
    <row r="12742" spans="9:9" x14ac:dyDescent="0.4">
      <c r="I12742" s="1"/>
    </row>
    <row r="12801" spans="9:9" x14ac:dyDescent="0.4">
      <c r="I12801" s="1"/>
    </row>
    <row r="12803" spans="9:9" x14ac:dyDescent="0.4">
      <c r="I12803" s="1"/>
    </row>
    <row r="12813" spans="9:9" x14ac:dyDescent="0.4">
      <c r="I12813" s="1"/>
    </row>
    <row r="12819" spans="9:9" x14ac:dyDescent="0.4">
      <c r="I12819" s="1"/>
    </row>
    <row r="12823" spans="9:9" x14ac:dyDescent="0.4">
      <c r="I12823" s="1"/>
    </row>
    <row r="12825" spans="9:9" x14ac:dyDescent="0.4">
      <c r="I12825" s="1"/>
    </row>
    <row r="12828" spans="9:9" x14ac:dyDescent="0.4">
      <c r="I12828" s="1"/>
    </row>
    <row r="12829" spans="9:9" x14ac:dyDescent="0.4">
      <c r="I12829" s="1"/>
    </row>
    <row r="12832" spans="9:9" x14ac:dyDescent="0.4">
      <c r="I12832" s="1"/>
    </row>
    <row r="12836" spans="9:9" x14ac:dyDescent="0.4">
      <c r="I12836" s="1"/>
    </row>
    <row r="12838" spans="9:9" x14ac:dyDescent="0.4">
      <c r="I12838" s="1"/>
    </row>
    <row r="12841" spans="9:9" x14ac:dyDescent="0.4">
      <c r="I12841" s="1"/>
    </row>
    <row r="12844" spans="9:9" x14ac:dyDescent="0.4">
      <c r="I12844" s="1"/>
    </row>
    <row r="12850" spans="9:9" x14ac:dyDescent="0.4">
      <c r="I12850" s="1"/>
    </row>
    <row r="12856" spans="9:9" x14ac:dyDescent="0.4">
      <c r="I12856" s="1"/>
    </row>
    <row r="12867" spans="9:9" x14ac:dyDescent="0.4">
      <c r="I12867" s="1"/>
    </row>
    <row r="12871" spans="9:9" x14ac:dyDescent="0.4">
      <c r="I12871" s="1"/>
    </row>
    <row r="12879" spans="9:9" x14ac:dyDescent="0.4">
      <c r="I12879" s="1"/>
    </row>
    <row r="12881" spans="9:9" x14ac:dyDescent="0.4">
      <c r="I12881" s="1"/>
    </row>
    <row r="12897" spans="9:9" x14ac:dyDescent="0.4">
      <c r="I12897" s="1"/>
    </row>
    <row r="12901" spans="9:9" x14ac:dyDescent="0.4">
      <c r="I12901" s="1"/>
    </row>
    <row r="12906" spans="9:9" x14ac:dyDescent="0.4">
      <c r="I12906" s="1"/>
    </row>
    <row r="12911" spans="9:9" x14ac:dyDescent="0.4">
      <c r="I12911" s="1"/>
    </row>
    <row r="12912" spans="9:9" x14ac:dyDescent="0.4">
      <c r="I12912" s="1"/>
    </row>
    <row r="12914" spans="9:9" x14ac:dyDescent="0.4">
      <c r="I12914" s="1"/>
    </row>
    <row r="12915" spans="9:9" x14ac:dyDescent="0.4">
      <c r="I12915" s="1"/>
    </row>
    <row r="12923" spans="9:9" x14ac:dyDescent="0.4">
      <c r="I12923" s="1"/>
    </row>
    <row r="12924" spans="9:9" x14ac:dyDescent="0.4">
      <c r="I12924" s="1"/>
    </row>
    <row r="12928" spans="9:9" x14ac:dyDescent="0.4">
      <c r="I12928" s="1"/>
    </row>
    <row r="12931" spans="9:9" x14ac:dyDescent="0.4">
      <c r="I12931" s="1"/>
    </row>
    <row r="12935" spans="9:9" x14ac:dyDescent="0.4">
      <c r="I12935" s="1"/>
    </row>
    <row r="12940" spans="9:9" x14ac:dyDescent="0.4">
      <c r="I12940" s="1"/>
    </row>
    <row r="12944" spans="9:9" x14ac:dyDescent="0.4">
      <c r="I12944" s="1"/>
    </row>
    <row r="12946" spans="9:9" x14ac:dyDescent="0.4">
      <c r="I12946" s="1"/>
    </row>
    <row r="12948" spans="9:9" x14ac:dyDescent="0.4">
      <c r="I12948" s="1"/>
    </row>
    <row r="12949" spans="9:9" x14ac:dyDescent="0.4">
      <c r="I12949" s="1"/>
    </row>
    <row r="12950" spans="9:9" x14ac:dyDescent="0.4">
      <c r="I12950" s="1"/>
    </row>
    <row r="12952" spans="9:9" x14ac:dyDescent="0.4">
      <c r="I12952" s="1"/>
    </row>
    <row r="12954" spans="9:9" x14ac:dyDescent="0.4">
      <c r="I12954" s="1"/>
    </row>
    <row r="12959" spans="9:9" x14ac:dyDescent="0.4">
      <c r="I12959" s="1"/>
    </row>
    <row r="12967" spans="9:9" x14ac:dyDescent="0.4">
      <c r="I12967" s="1"/>
    </row>
    <row r="12970" spans="9:9" x14ac:dyDescent="0.4">
      <c r="I12970" s="1"/>
    </row>
    <row r="12977" spans="9:9" x14ac:dyDescent="0.4">
      <c r="I12977" s="1"/>
    </row>
    <row r="12979" spans="9:9" x14ac:dyDescent="0.4">
      <c r="I12979" s="1"/>
    </row>
    <row r="12986" spans="9:9" x14ac:dyDescent="0.4">
      <c r="I12986" s="1"/>
    </row>
    <row r="12993" spans="9:9" x14ac:dyDescent="0.4">
      <c r="I12993" s="1"/>
    </row>
    <row r="12994" spans="9:9" x14ac:dyDescent="0.4">
      <c r="I12994" s="1"/>
    </row>
    <row r="12996" spans="9:9" x14ac:dyDescent="0.4">
      <c r="I12996" s="1"/>
    </row>
    <row r="13001" spans="9:9" x14ac:dyDescent="0.4">
      <c r="I13001" s="1"/>
    </row>
    <row r="13014" spans="9:9" x14ac:dyDescent="0.4">
      <c r="I13014" s="1"/>
    </row>
    <row r="13017" spans="9:9" x14ac:dyDescent="0.4">
      <c r="I13017" s="1"/>
    </row>
    <row r="13022" spans="9:9" x14ac:dyDescent="0.4">
      <c r="I13022" s="1"/>
    </row>
    <row r="13025" spans="9:9" x14ac:dyDescent="0.4">
      <c r="I13025" s="1"/>
    </row>
    <row r="13026" spans="9:9" x14ac:dyDescent="0.4">
      <c r="I13026" s="1"/>
    </row>
    <row r="13031" spans="9:9" x14ac:dyDescent="0.4">
      <c r="I13031" s="1"/>
    </row>
    <row r="13040" spans="9:9" x14ac:dyDescent="0.4">
      <c r="I13040" s="1"/>
    </row>
    <row r="13044" spans="9:9" x14ac:dyDescent="0.4">
      <c r="I13044" s="1"/>
    </row>
    <row r="13048" spans="9:9" x14ac:dyDescent="0.4">
      <c r="I13048" s="1"/>
    </row>
    <row r="13049" spans="9:9" x14ac:dyDescent="0.4">
      <c r="I13049" s="1"/>
    </row>
    <row r="13052" spans="9:9" x14ac:dyDescent="0.4">
      <c r="I13052" s="1"/>
    </row>
    <row r="13058" spans="9:9" x14ac:dyDescent="0.4">
      <c r="I13058" s="1"/>
    </row>
    <row r="13059" spans="9:9" x14ac:dyDescent="0.4">
      <c r="I13059" s="1"/>
    </row>
    <row r="13060" spans="9:9" x14ac:dyDescent="0.4">
      <c r="I13060" s="1"/>
    </row>
    <row r="13065" spans="9:9" x14ac:dyDescent="0.4">
      <c r="I13065" s="1"/>
    </row>
    <row r="13072" spans="9:9" x14ac:dyDescent="0.4">
      <c r="I13072" s="1"/>
    </row>
    <row r="13078" spans="9:9" x14ac:dyDescent="0.4">
      <c r="I13078" s="1"/>
    </row>
    <row r="13080" spans="9:9" x14ac:dyDescent="0.4">
      <c r="I13080" s="1"/>
    </row>
    <row r="13081" spans="9:9" x14ac:dyDescent="0.4">
      <c r="I13081" s="1"/>
    </row>
    <row r="13083" spans="9:9" x14ac:dyDescent="0.4">
      <c r="I13083" s="1"/>
    </row>
    <row r="13087" spans="9:9" x14ac:dyDescent="0.4">
      <c r="I13087" s="1"/>
    </row>
    <row r="13089" spans="9:9" x14ac:dyDescent="0.4">
      <c r="I13089" s="1"/>
    </row>
    <row r="13091" spans="9:9" x14ac:dyDescent="0.4">
      <c r="I13091" s="1"/>
    </row>
    <row r="13093" spans="9:9" x14ac:dyDescent="0.4">
      <c r="I13093" s="1"/>
    </row>
    <row r="13094" spans="9:9" x14ac:dyDescent="0.4">
      <c r="I13094" s="1"/>
    </row>
    <row r="13103" spans="9:9" x14ac:dyDescent="0.4">
      <c r="I13103" s="1"/>
    </row>
    <row r="13107" spans="9:9" x14ac:dyDescent="0.4">
      <c r="I13107" s="1"/>
    </row>
    <row r="13210" spans="9:9" x14ac:dyDescent="0.4">
      <c r="I13210" s="1"/>
    </row>
    <row r="13215" spans="9:9" x14ac:dyDescent="0.4">
      <c r="I13215" s="1"/>
    </row>
    <row r="13224" spans="6:9" x14ac:dyDescent="0.4">
      <c r="F13224" s="1"/>
      <c r="I13224" s="1"/>
    </row>
    <row r="13226" spans="6:9" x14ac:dyDescent="0.4">
      <c r="I13226" s="1"/>
    </row>
    <row r="13227" spans="6:9" x14ac:dyDescent="0.4">
      <c r="F13227" s="1"/>
    </row>
    <row r="13234" spans="6:9" x14ac:dyDescent="0.4">
      <c r="F13234" s="1"/>
    </row>
    <row r="13242" spans="6:9" x14ac:dyDescent="0.4">
      <c r="I13242" s="1"/>
    </row>
    <row r="13246" spans="6:9" x14ac:dyDescent="0.4">
      <c r="I13246" s="1"/>
    </row>
    <row r="13249" spans="9:9" x14ac:dyDescent="0.4">
      <c r="I13249" s="1"/>
    </row>
    <row r="13252" spans="9:9" x14ac:dyDescent="0.4">
      <c r="I13252" s="1"/>
    </row>
    <row r="13261" spans="9:9" x14ac:dyDescent="0.4">
      <c r="I13261" s="1"/>
    </row>
    <row r="13262" spans="9:9" x14ac:dyDescent="0.4">
      <c r="I13262" s="1"/>
    </row>
    <row r="13263" spans="9:9" x14ac:dyDescent="0.4">
      <c r="I13263" s="1"/>
    </row>
    <row r="13264" spans="9:9" x14ac:dyDescent="0.4">
      <c r="I13264" s="1"/>
    </row>
    <row r="13267" spans="9:9" x14ac:dyDescent="0.4">
      <c r="I13267" s="1"/>
    </row>
    <row r="13273" spans="9:9" x14ac:dyDescent="0.4">
      <c r="I13273" s="1"/>
    </row>
    <row r="13274" spans="9:9" x14ac:dyDescent="0.4">
      <c r="I13274" s="1"/>
    </row>
    <row r="13277" spans="9:9" x14ac:dyDescent="0.4">
      <c r="I13277" s="1"/>
    </row>
    <row r="13279" spans="9:9" x14ac:dyDescent="0.4">
      <c r="I13279" s="1"/>
    </row>
    <row r="13282" spans="9:9" x14ac:dyDescent="0.4">
      <c r="I13282" s="1"/>
    </row>
    <row r="13286" spans="9:9" x14ac:dyDescent="0.4">
      <c r="I13286" s="1"/>
    </row>
    <row r="13287" spans="9:9" x14ac:dyDescent="0.4">
      <c r="I13287" s="1"/>
    </row>
    <row r="13289" spans="9:9" x14ac:dyDescent="0.4">
      <c r="I13289" s="1"/>
    </row>
    <row r="13293" spans="9:9" x14ac:dyDescent="0.4">
      <c r="I13293" s="1"/>
    </row>
    <row r="13294" spans="9:9" x14ac:dyDescent="0.4">
      <c r="I13294" s="1"/>
    </row>
    <row r="13295" spans="9:9" x14ac:dyDescent="0.4">
      <c r="I13295" s="1"/>
    </row>
    <row r="13297" spans="9:9" x14ac:dyDescent="0.4">
      <c r="I13297" s="1"/>
    </row>
    <row r="13315" spans="9:9" x14ac:dyDescent="0.4">
      <c r="I13315" s="1"/>
    </row>
    <row r="13317" spans="9:9" x14ac:dyDescent="0.4">
      <c r="I13317" s="1"/>
    </row>
    <row r="13320" spans="9:9" x14ac:dyDescent="0.4">
      <c r="I13320" s="1"/>
    </row>
    <row r="13322" spans="9:9" x14ac:dyDescent="0.4">
      <c r="I13322" s="1"/>
    </row>
    <row r="13326" spans="9:9" x14ac:dyDescent="0.4">
      <c r="I13326" s="1"/>
    </row>
    <row r="13328" spans="9:9" x14ac:dyDescent="0.4">
      <c r="I13328" s="1"/>
    </row>
    <row r="13329" spans="9:9" x14ac:dyDescent="0.4">
      <c r="I13329" s="1"/>
    </row>
    <row r="13331" spans="9:9" x14ac:dyDescent="0.4">
      <c r="I13331" s="1"/>
    </row>
    <row r="13336" spans="9:9" x14ac:dyDescent="0.4">
      <c r="I13336" s="1"/>
    </row>
    <row r="13339" spans="9:9" x14ac:dyDescent="0.4">
      <c r="I13339" s="1"/>
    </row>
    <row r="13342" spans="9:9" x14ac:dyDescent="0.4">
      <c r="I13342" s="1"/>
    </row>
    <row r="13348" spans="9:9" x14ac:dyDescent="0.4">
      <c r="I13348" s="1"/>
    </row>
    <row r="13351" spans="9:9" x14ac:dyDescent="0.4">
      <c r="I13351" s="1"/>
    </row>
    <row r="13355" spans="9:9" x14ac:dyDescent="0.4">
      <c r="I13355" s="1"/>
    </row>
    <row r="13360" spans="9:9" x14ac:dyDescent="0.4">
      <c r="I13360" s="1"/>
    </row>
    <row r="13363" spans="9:9" x14ac:dyDescent="0.4">
      <c r="I13363" s="1"/>
    </row>
    <row r="13364" spans="9:9" x14ac:dyDescent="0.4">
      <c r="I13364" s="1"/>
    </row>
    <row r="13365" spans="9:9" x14ac:dyDescent="0.4">
      <c r="I13365" s="1"/>
    </row>
    <row r="13366" spans="9:9" x14ac:dyDescent="0.4">
      <c r="I13366" s="1"/>
    </row>
    <row r="13370" spans="9:9" x14ac:dyDescent="0.4">
      <c r="I13370" s="1"/>
    </row>
    <row r="13379" spans="9:9" x14ac:dyDescent="0.4">
      <c r="I13379" s="1"/>
    </row>
    <row r="13382" spans="9:9" x14ac:dyDescent="0.4">
      <c r="I13382" s="1"/>
    </row>
    <row r="13386" spans="9:9" x14ac:dyDescent="0.4">
      <c r="I13386" s="1"/>
    </row>
    <row r="13389" spans="9:9" x14ac:dyDescent="0.4">
      <c r="I13389" s="1"/>
    </row>
    <row r="13390" spans="9:9" x14ac:dyDescent="0.4">
      <c r="I13390" s="1"/>
    </row>
    <row r="13394" spans="9:9" x14ac:dyDescent="0.4">
      <c r="I13394" s="1"/>
    </row>
    <row r="13399" spans="9:9" x14ac:dyDescent="0.4">
      <c r="I13399" s="1"/>
    </row>
    <row r="13400" spans="9:9" x14ac:dyDescent="0.4">
      <c r="I13400" s="1"/>
    </row>
    <row r="13406" spans="9:9" x14ac:dyDescent="0.4">
      <c r="I13406" s="1"/>
    </row>
    <row r="13408" spans="9:9" x14ac:dyDescent="0.4">
      <c r="I13408" s="1"/>
    </row>
    <row r="13412" spans="9:9" x14ac:dyDescent="0.4">
      <c r="I13412" s="1"/>
    </row>
    <row r="13413" spans="9:9" x14ac:dyDescent="0.4">
      <c r="I13413" s="1"/>
    </row>
    <row r="13415" spans="9:9" x14ac:dyDescent="0.4">
      <c r="I13415" s="1"/>
    </row>
    <row r="13417" spans="9:9" x14ac:dyDescent="0.4">
      <c r="I13417" s="1"/>
    </row>
    <row r="13421" spans="9:9" x14ac:dyDescent="0.4">
      <c r="I13421" s="1"/>
    </row>
    <row r="13422" spans="9:9" x14ac:dyDescent="0.4">
      <c r="I13422" s="1"/>
    </row>
    <row r="13427" spans="9:9" x14ac:dyDescent="0.4">
      <c r="I13427" s="1"/>
    </row>
    <row r="13432" spans="9:9" x14ac:dyDescent="0.4">
      <c r="I13432" s="1"/>
    </row>
    <row r="13434" spans="9:9" x14ac:dyDescent="0.4">
      <c r="I13434" s="1"/>
    </row>
    <row r="13436" spans="9:9" x14ac:dyDescent="0.4">
      <c r="I13436" s="1"/>
    </row>
    <row r="13437" spans="9:9" x14ac:dyDescent="0.4">
      <c r="I13437" s="1"/>
    </row>
    <row r="13439" spans="9:9" x14ac:dyDescent="0.4">
      <c r="I13439" s="1"/>
    </row>
    <row r="13443" spans="9:9" x14ac:dyDescent="0.4">
      <c r="I13443" s="1"/>
    </row>
    <row r="13444" spans="9:9" x14ac:dyDescent="0.4">
      <c r="I13444" s="1"/>
    </row>
    <row r="13445" spans="9:9" x14ac:dyDescent="0.4">
      <c r="I13445" s="1"/>
    </row>
    <row r="13447" spans="9:9" x14ac:dyDescent="0.4">
      <c r="I13447" s="1"/>
    </row>
    <row r="13449" spans="9:9" x14ac:dyDescent="0.4">
      <c r="I13449" s="1"/>
    </row>
    <row r="13452" spans="9:9" x14ac:dyDescent="0.4">
      <c r="I13452" s="1"/>
    </row>
    <row r="13458" spans="9:9" x14ac:dyDescent="0.4">
      <c r="I13458" s="1"/>
    </row>
    <row r="13463" spans="9:9" x14ac:dyDescent="0.4">
      <c r="I13463" s="1"/>
    </row>
    <row r="13464" spans="9:9" x14ac:dyDescent="0.4">
      <c r="I13464" s="1"/>
    </row>
    <row r="13467" spans="9:9" x14ac:dyDescent="0.4">
      <c r="I13467" s="1"/>
    </row>
    <row r="13471" spans="9:9" x14ac:dyDescent="0.4">
      <c r="I13471" s="1"/>
    </row>
    <row r="13473" spans="9:9" x14ac:dyDescent="0.4">
      <c r="I13473" s="1"/>
    </row>
    <row r="13481" spans="9:9" x14ac:dyDescent="0.4">
      <c r="I13481" s="1"/>
    </row>
    <row r="13482" spans="9:9" x14ac:dyDescent="0.4">
      <c r="I13482" s="1"/>
    </row>
    <row r="13488" spans="9:9" x14ac:dyDescent="0.4">
      <c r="I13488" s="1"/>
    </row>
    <row r="13490" spans="9:9" x14ac:dyDescent="0.4">
      <c r="I13490" s="1"/>
    </row>
    <row r="13493" spans="9:9" x14ac:dyDescent="0.4">
      <c r="I13493" s="1"/>
    </row>
    <row r="13496" spans="9:9" x14ac:dyDescent="0.4">
      <c r="I13496" s="1"/>
    </row>
    <row r="13498" spans="9:9" x14ac:dyDescent="0.4">
      <c r="I13498" s="1"/>
    </row>
    <row r="13513" spans="9:9" x14ac:dyDescent="0.4">
      <c r="I13513" s="1"/>
    </row>
    <row r="13514" spans="9:9" x14ac:dyDescent="0.4">
      <c r="I13514" s="1"/>
    </row>
    <row r="13515" spans="9:9" x14ac:dyDescent="0.4">
      <c r="I13515" s="1"/>
    </row>
    <row r="13516" spans="9:9" x14ac:dyDescent="0.4">
      <c r="I13516" s="1"/>
    </row>
    <row r="13519" spans="9:9" x14ac:dyDescent="0.4">
      <c r="I13519" s="1"/>
    </row>
    <row r="13525" spans="9:9" x14ac:dyDescent="0.4">
      <c r="I13525" s="1"/>
    </row>
    <row r="13530" spans="9:9" x14ac:dyDescent="0.4">
      <c r="I13530" s="1"/>
    </row>
    <row r="13537" spans="9:9" x14ac:dyDescent="0.4">
      <c r="I13537" s="1"/>
    </row>
    <row r="13539" spans="9:9" x14ac:dyDescent="0.4">
      <c r="I13539" s="1"/>
    </row>
    <row r="13540" spans="9:9" x14ac:dyDescent="0.4">
      <c r="I13540" s="1"/>
    </row>
    <row r="13541" spans="9:9" x14ac:dyDescent="0.4">
      <c r="I13541" s="1"/>
    </row>
    <row r="13542" spans="9:9" x14ac:dyDescent="0.4">
      <c r="I13542" s="1"/>
    </row>
    <row r="13554" spans="9:9" x14ac:dyDescent="0.4">
      <c r="I13554" s="1"/>
    </row>
    <row r="13560" spans="9:9" x14ac:dyDescent="0.4">
      <c r="I13560" s="1"/>
    </row>
    <row r="13566" spans="9:9" x14ac:dyDescent="0.4">
      <c r="I13566" s="1"/>
    </row>
    <row r="13567" spans="9:9" x14ac:dyDescent="0.4">
      <c r="I13567" s="1"/>
    </row>
    <row r="13569" spans="9:9" x14ac:dyDescent="0.4">
      <c r="I13569" s="1"/>
    </row>
    <row r="13573" spans="9:9" x14ac:dyDescent="0.4">
      <c r="I13573" s="1"/>
    </row>
    <row r="13574" spans="9:9" x14ac:dyDescent="0.4">
      <c r="I13574" s="1"/>
    </row>
    <row r="13580" spans="9:9" x14ac:dyDescent="0.4">
      <c r="I13580" s="1"/>
    </row>
    <row r="13585" spans="9:9" x14ac:dyDescent="0.4">
      <c r="I13585" s="1"/>
    </row>
    <row r="13595" spans="9:9" x14ac:dyDescent="0.4">
      <c r="I13595" s="1"/>
    </row>
    <row r="13601" spans="9:9" x14ac:dyDescent="0.4">
      <c r="I13601" s="1"/>
    </row>
    <row r="13603" spans="9:9" x14ac:dyDescent="0.4">
      <c r="I13603" s="1"/>
    </row>
    <row r="13610" spans="9:9" x14ac:dyDescent="0.4">
      <c r="I13610" s="1"/>
    </row>
    <row r="13612" spans="9:9" x14ac:dyDescent="0.4">
      <c r="I13612" s="1"/>
    </row>
    <row r="13614" spans="9:9" x14ac:dyDescent="0.4">
      <c r="I13614" s="1"/>
    </row>
    <row r="13615" spans="9:9" x14ac:dyDescent="0.4">
      <c r="I13615" s="1"/>
    </row>
    <row r="13619" spans="9:9" x14ac:dyDescent="0.4">
      <c r="I13619" s="1"/>
    </row>
    <row r="13621" spans="9:9" x14ac:dyDescent="0.4">
      <c r="I13621" s="1"/>
    </row>
    <row r="13624" spans="9:9" x14ac:dyDescent="0.4">
      <c r="I13624" s="1"/>
    </row>
    <row r="13629" spans="9:9" x14ac:dyDescent="0.4">
      <c r="I13629" s="1"/>
    </row>
    <row r="13632" spans="9:9" x14ac:dyDescent="0.4">
      <c r="I13632" s="1"/>
    </row>
    <row r="13642" spans="9:9" x14ac:dyDescent="0.4">
      <c r="I13642" s="1"/>
    </row>
    <row r="13643" spans="9:9" x14ac:dyDescent="0.4">
      <c r="I13643" s="1"/>
    </row>
    <row r="13644" spans="9:9" x14ac:dyDescent="0.4">
      <c r="I13644" s="1"/>
    </row>
    <row r="13645" spans="9:9" x14ac:dyDescent="0.4">
      <c r="I13645" s="1"/>
    </row>
    <row r="13649" spans="9:9" x14ac:dyDescent="0.4">
      <c r="I13649" s="1"/>
    </row>
    <row r="13654" spans="9:9" x14ac:dyDescent="0.4">
      <c r="I13654" s="1"/>
    </row>
    <row r="13655" spans="9:9" x14ac:dyDescent="0.4">
      <c r="I13655" s="1"/>
    </row>
    <row r="13656" spans="9:9" x14ac:dyDescent="0.4">
      <c r="I13656" s="1"/>
    </row>
    <row r="13666" spans="9:9" x14ac:dyDescent="0.4">
      <c r="I13666" s="1"/>
    </row>
    <row r="13668" spans="9:9" x14ac:dyDescent="0.4">
      <c r="I13668" s="1"/>
    </row>
    <row r="13669" spans="9:9" x14ac:dyDescent="0.4">
      <c r="I13669" s="1"/>
    </row>
    <row r="13673" spans="9:9" x14ac:dyDescent="0.4">
      <c r="I13673" s="1"/>
    </row>
    <row r="13676" spans="9:9" x14ac:dyDescent="0.4">
      <c r="I13676" s="1"/>
    </row>
    <row r="13684" spans="9:9" x14ac:dyDescent="0.4">
      <c r="I13684" s="1"/>
    </row>
    <row r="13687" spans="9:9" x14ac:dyDescent="0.4">
      <c r="I13687" s="1"/>
    </row>
    <row r="13688" spans="9:9" x14ac:dyDescent="0.4">
      <c r="I13688" s="1"/>
    </row>
    <row r="13690" spans="9:9" x14ac:dyDescent="0.4">
      <c r="I13690" s="1"/>
    </row>
    <row r="13694" spans="9:9" x14ac:dyDescent="0.4">
      <c r="I13694" s="1"/>
    </row>
    <row r="13705" spans="9:9" x14ac:dyDescent="0.4">
      <c r="I13705" s="1"/>
    </row>
    <row r="13710" spans="9:9" x14ac:dyDescent="0.4">
      <c r="I13710" s="1"/>
    </row>
    <row r="13714" spans="9:9" x14ac:dyDescent="0.4">
      <c r="I13714" s="1"/>
    </row>
    <row r="13718" spans="9:9" x14ac:dyDescent="0.4">
      <c r="I13718" s="1"/>
    </row>
    <row r="13719" spans="9:9" x14ac:dyDescent="0.4">
      <c r="I13719" s="1"/>
    </row>
    <row r="13720" spans="9:9" x14ac:dyDescent="0.4">
      <c r="I13720" s="1"/>
    </row>
    <row r="13723" spans="9:9" x14ac:dyDescent="0.4">
      <c r="I13723" s="1"/>
    </row>
    <row r="13731" spans="9:9" x14ac:dyDescent="0.4">
      <c r="I13731" s="1"/>
    </row>
    <row r="13734" spans="9:9" x14ac:dyDescent="0.4">
      <c r="I13734" s="1"/>
    </row>
    <row r="13739" spans="9:9" x14ac:dyDescent="0.4">
      <c r="I13739" s="1"/>
    </row>
    <row r="13742" spans="9:9" x14ac:dyDescent="0.4">
      <c r="I13742" s="1"/>
    </row>
    <row r="13746" spans="9:9" x14ac:dyDescent="0.4">
      <c r="I13746" s="1"/>
    </row>
    <row r="13749" spans="9:9" x14ac:dyDescent="0.4">
      <c r="I13749" s="1"/>
    </row>
    <row r="13752" spans="9:9" x14ac:dyDescent="0.4">
      <c r="I13752" s="1"/>
    </row>
    <row r="13753" spans="9:9" x14ac:dyDescent="0.4">
      <c r="I13753" s="1"/>
    </row>
    <row r="13762" spans="9:9" x14ac:dyDescent="0.4">
      <c r="I13762" s="1"/>
    </row>
    <row r="13763" spans="9:9" x14ac:dyDescent="0.4">
      <c r="I13763" s="1"/>
    </row>
    <row r="13765" spans="9:9" x14ac:dyDescent="0.4">
      <c r="I13765" s="1"/>
    </row>
    <row r="13766" spans="9:9" x14ac:dyDescent="0.4">
      <c r="I13766" s="1"/>
    </row>
    <row r="13771" spans="9:9" x14ac:dyDescent="0.4">
      <c r="I13771" s="1"/>
    </row>
    <row r="13776" spans="9:9" x14ac:dyDescent="0.4">
      <c r="I13776" s="1"/>
    </row>
    <row r="13778" spans="9:9" x14ac:dyDescent="0.4">
      <c r="I13778" s="1"/>
    </row>
    <row r="13780" spans="9:9" x14ac:dyDescent="0.4">
      <c r="I13780" s="1"/>
    </row>
    <row r="13784" spans="9:9" x14ac:dyDescent="0.4">
      <c r="I13784" s="1"/>
    </row>
    <row r="13786" spans="9:9" x14ac:dyDescent="0.4">
      <c r="I13786" s="1"/>
    </row>
    <row r="13790" spans="9:9" x14ac:dyDescent="0.4">
      <c r="I13790" s="1"/>
    </row>
    <row r="13794" spans="9:9" x14ac:dyDescent="0.4">
      <c r="I13794" s="1"/>
    </row>
    <row r="13799" spans="9:9" x14ac:dyDescent="0.4">
      <c r="I13799" s="1"/>
    </row>
    <row r="13800" spans="9:9" x14ac:dyDescent="0.4">
      <c r="I13800" s="1"/>
    </row>
    <row r="13801" spans="9:9" x14ac:dyDescent="0.4">
      <c r="I13801" s="1"/>
    </row>
    <row r="13802" spans="9:9" x14ac:dyDescent="0.4">
      <c r="I13802" s="1"/>
    </row>
    <row r="13804" spans="9:9" x14ac:dyDescent="0.4">
      <c r="I13804" s="1"/>
    </row>
    <row r="13806" spans="9:9" x14ac:dyDescent="0.4">
      <c r="I13806" s="1"/>
    </row>
    <row r="13810" spans="9:9" x14ac:dyDescent="0.4">
      <c r="I13810" s="1"/>
    </row>
    <row r="13811" spans="9:9" x14ac:dyDescent="0.4">
      <c r="I13811" s="1"/>
    </row>
    <row r="13817" spans="9:9" x14ac:dyDescent="0.4">
      <c r="I13817" s="1"/>
    </row>
    <row r="13825" spans="9:9" x14ac:dyDescent="0.4">
      <c r="I13825" s="1"/>
    </row>
    <row r="13826" spans="9:9" x14ac:dyDescent="0.4">
      <c r="I13826" s="1"/>
    </row>
    <row r="13835" spans="9:9" x14ac:dyDescent="0.4">
      <c r="I13835" s="1"/>
    </row>
    <row r="13839" spans="9:9" x14ac:dyDescent="0.4">
      <c r="I13839" s="1"/>
    </row>
    <row r="13843" spans="9:9" x14ac:dyDescent="0.4">
      <c r="I13843" s="1"/>
    </row>
    <row r="13847" spans="9:9" x14ac:dyDescent="0.4">
      <c r="I13847" s="1"/>
    </row>
    <row r="13850" spans="9:9" x14ac:dyDescent="0.4">
      <c r="I13850" s="1"/>
    </row>
    <row r="13854" spans="9:9" x14ac:dyDescent="0.4">
      <c r="I13854" s="1"/>
    </row>
    <row r="13855" spans="9:9" x14ac:dyDescent="0.4">
      <c r="I13855" s="1"/>
    </row>
    <row r="13856" spans="9:9" x14ac:dyDescent="0.4">
      <c r="I13856" s="1"/>
    </row>
    <row r="13857" spans="9:9" x14ac:dyDescent="0.4">
      <c r="I13857" s="1"/>
    </row>
    <row r="13860" spans="9:9" x14ac:dyDescent="0.4">
      <c r="I13860" s="1"/>
    </row>
    <row r="13861" spans="9:9" x14ac:dyDescent="0.4">
      <c r="I13861" s="1"/>
    </row>
    <row r="13862" spans="9:9" x14ac:dyDescent="0.4">
      <c r="I13862" s="1"/>
    </row>
    <row r="13871" spans="9:9" x14ac:dyDescent="0.4">
      <c r="I13871" s="1"/>
    </row>
    <row r="13878" spans="9:9" x14ac:dyDescent="0.4">
      <c r="I13878" s="1"/>
    </row>
    <row r="13882" spans="9:9" x14ac:dyDescent="0.4">
      <c r="I13882" s="1"/>
    </row>
    <row r="13885" spans="9:9" x14ac:dyDescent="0.4">
      <c r="I13885" s="1"/>
    </row>
    <row r="13887" spans="9:9" x14ac:dyDescent="0.4">
      <c r="I13887" s="1"/>
    </row>
    <row r="13892" spans="9:9" x14ac:dyDescent="0.4">
      <c r="I13892" s="1"/>
    </row>
    <row r="13893" spans="9:9" x14ac:dyDescent="0.4">
      <c r="I13893" s="1"/>
    </row>
    <row r="13899" spans="9:9" x14ac:dyDescent="0.4">
      <c r="I13899" s="1"/>
    </row>
    <row r="13900" spans="9:9" x14ac:dyDescent="0.4">
      <c r="I13900" s="1"/>
    </row>
    <row r="13901" spans="9:9" x14ac:dyDescent="0.4">
      <c r="I13901" s="1"/>
    </row>
    <row r="13917" spans="9:9" x14ac:dyDescent="0.4">
      <c r="I13917" s="1"/>
    </row>
    <row r="13919" spans="9:9" x14ac:dyDescent="0.4">
      <c r="I13919" s="1"/>
    </row>
    <row r="13921" spans="9:9" x14ac:dyDescent="0.4">
      <c r="I13921" s="1"/>
    </row>
    <row r="13926" spans="9:9" x14ac:dyDescent="0.4">
      <c r="I13926" s="1"/>
    </row>
    <row r="13929" spans="9:9" x14ac:dyDescent="0.4">
      <c r="I13929" s="1"/>
    </row>
    <row r="13930" spans="9:9" x14ac:dyDescent="0.4">
      <c r="I13930" s="1"/>
    </row>
    <row r="13932" spans="9:9" x14ac:dyDescent="0.4">
      <c r="I13932" s="1"/>
    </row>
    <row r="13933" spans="9:9" x14ac:dyDescent="0.4">
      <c r="I13933" s="1"/>
    </row>
    <row r="13936" spans="9:9" x14ac:dyDescent="0.4">
      <c r="I13936" s="1"/>
    </row>
    <row r="13937" spans="9:9" x14ac:dyDescent="0.4">
      <c r="I13937" s="1"/>
    </row>
    <row r="13940" spans="9:9" x14ac:dyDescent="0.4">
      <c r="I13940" s="1"/>
    </row>
    <row r="13941" spans="9:9" x14ac:dyDescent="0.4">
      <c r="I13941" s="1"/>
    </row>
    <row r="13950" spans="9:9" x14ac:dyDescent="0.4">
      <c r="I13950" s="1"/>
    </row>
    <row r="13952" spans="9:9" x14ac:dyDescent="0.4">
      <c r="I13952" s="1"/>
    </row>
    <row r="13957" spans="9:9" x14ac:dyDescent="0.4">
      <c r="I13957" s="1"/>
    </row>
    <row r="13960" spans="9:9" x14ac:dyDescent="0.4">
      <c r="I13960" s="1"/>
    </row>
    <row r="13964" spans="9:9" x14ac:dyDescent="0.4">
      <c r="I13964" s="1"/>
    </row>
    <row r="13969" spans="9:9" x14ac:dyDescent="0.4">
      <c r="I13969" s="1"/>
    </row>
    <row r="13971" spans="9:9" x14ac:dyDescent="0.4">
      <c r="I13971" s="1"/>
    </row>
    <row r="13974" spans="9:9" x14ac:dyDescent="0.4">
      <c r="I13974" s="1"/>
    </row>
    <row r="13978" spans="9:9" x14ac:dyDescent="0.4">
      <c r="I13978" s="1"/>
    </row>
    <row r="13980" spans="9:9" x14ac:dyDescent="0.4">
      <c r="I13980" s="1"/>
    </row>
    <row r="13981" spans="9:9" x14ac:dyDescent="0.4">
      <c r="I13981" s="1"/>
    </row>
    <row r="13982" spans="9:9" x14ac:dyDescent="0.4">
      <c r="I13982" s="1"/>
    </row>
    <row r="13983" spans="9:9" x14ac:dyDescent="0.4">
      <c r="I13983" s="1"/>
    </row>
    <row r="13989" spans="9:9" x14ac:dyDescent="0.4">
      <c r="I13989" s="1"/>
    </row>
    <row r="13995" spans="9:9" x14ac:dyDescent="0.4">
      <c r="I13995" s="1"/>
    </row>
    <row r="13996" spans="9:9" x14ac:dyDescent="0.4">
      <c r="I13996" s="1"/>
    </row>
    <row r="13999" spans="9:9" x14ac:dyDescent="0.4">
      <c r="I13999" s="1"/>
    </row>
    <row r="14002" spans="9:9" x14ac:dyDescent="0.4">
      <c r="I14002" s="1"/>
    </row>
    <row r="14011" spans="9:9" x14ac:dyDescent="0.4">
      <c r="I14011" s="1"/>
    </row>
    <row r="14013" spans="9:9" x14ac:dyDescent="0.4">
      <c r="I14013" s="1"/>
    </row>
    <row r="14015" spans="9:9" x14ac:dyDescent="0.4">
      <c r="I14015" s="1"/>
    </row>
    <row r="14020" spans="9:9" x14ac:dyDescent="0.4">
      <c r="I14020" s="1"/>
    </row>
    <row r="14037" spans="6:9" x14ac:dyDescent="0.4">
      <c r="I14037" s="1"/>
    </row>
    <row r="14040" spans="6:9" x14ac:dyDescent="0.4">
      <c r="F14040" s="1"/>
    </row>
    <row r="14041" spans="6:9" x14ac:dyDescent="0.4">
      <c r="I14041" s="1"/>
    </row>
    <row r="14045" spans="6:9" x14ac:dyDescent="0.4">
      <c r="I14045" s="1"/>
    </row>
    <row r="14049" spans="9:9" x14ac:dyDescent="0.4">
      <c r="I14049" s="1"/>
    </row>
    <row r="14051" spans="9:9" x14ac:dyDescent="0.4">
      <c r="I14051" s="1"/>
    </row>
    <row r="14053" spans="9:9" x14ac:dyDescent="0.4">
      <c r="I14053" s="1"/>
    </row>
    <row r="14054" spans="9:9" x14ac:dyDescent="0.4">
      <c r="I14054" s="1"/>
    </row>
    <row r="14057" spans="9:9" x14ac:dyDescent="0.4">
      <c r="I14057" s="1"/>
    </row>
    <row r="14058" spans="9:9" x14ac:dyDescent="0.4">
      <c r="I14058" s="1"/>
    </row>
    <row r="14060" spans="9:9" x14ac:dyDescent="0.4">
      <c r="I14060" s="1"/>
    </row>
    <row r="14064" spans="9:9" x14ac:dyDescent="0.4">
      <c r="I14064" s="1"/>
    </row>
    <row r="14069" spans="9:9" x14ac:dyDescent="0.4">
      <c r="I14069" s="1"/>
    </row>
    <row r="14070" spans="9:9" x14ac:dyDescent="0.4">
      <c r="I14070" s="1"/>
    </row>
    <row r="14082" spans="9:9" x14ac:dyDescent="0.4">
      <c r="I14082" s="1"/>
    </row>
    <row r="14084" spans="9:9" x14ac:dyDescent="0.4">
      <c r="I14084" s="1"/>
    </row>
    <row r="14085" spans="9:9" x14ac:dyDescent="0.4">
      <c r="I14085" s="1"/>
    </row>
    <row r="14087" spans="9:9" x14ac:dyDescent="0.4">
      <c r="I14087" s="1"/>
    </row>
    <row r="14093" spans="9:9" x14ac:dyDescent="0.4">
      <c r="I14093" s="1"/>
    </row>
    <row r="14095" spans="9:9" x14ac:dyDescent="0.4">
      <c r="I14095" s="1"/>
    </row>
    <row r="14096" spans="9:9" x14ac:dyDescent="0.4">
      <c r="I14096" s="1"/>
    </row>
    <row r="14106" spans="9:9" x14ac:dyDescent="0.4">
      <c r="I14106" s="1"/>
    </row>
    <row r="14107" spans="9:9" x14ac:dyDescent="0.4">
      <c r="I14107" s="1"/>
    </row>
    <row r="14108" spans="9:9" x14ac:dyDescent="0.4">
      <c r="I14108" s="1"/>
    </row>
    <row r="14110" spans="9:9" x14ac:dyDescent="0.4">
      <c r="I14110" s="1"/>
    </row>
    <row r="14112" spans="9:9" x14ac:dyDescent="0.4">
      <c r="I14112" s="1"/>
    </row>
    <row r="14114" spans="9:9" x14ac:dyDescent="0.4">
      <c r="I14114" s="1"/>
    </row>
    <row r="14123" spans="9:9" x14ac:dyDescent="0.4">
      <c r="I14123" s="1"/>
    </row>
    <row r="14128" spans="9:9" x14ac:dyDescent="0.4">
      <c r="I14128" s="1"/>
    </row>
    <row r="14133" spans="6:9" x14ac:dyDescent="0.4">
      <c r="I14133" s="1"/>
    </row>
    <row r="14138" spans="6:9" x14ac:dyDescent="0.4">
      <c r="F14138" s="1"/>
    </row>
    <row r="14139" spans="6:9" x14ac:dyDescent="0.4">
      <c r="I14139" s="1"/>
    </row>
    <row r="14145" spans="6:9" x14ac:dyDescent="0.4">
      <c r="F14145" s="1"/>
    </row>
    <row r="14151" spans="6:9" x14ac:dyDescent="0.4">
      <c r="I14151" s="1"/>
    </row>
    <row r="14156" spans="6:9" x14ac:dyDescent="0.4">
      <c r="I14156" s="1"/>
    </row>
    <row r="14172" spans="9:9" x14ac:dyDescent="0.4">
      <c r="I14172" s="1"/>
    </row>
    <row r="14189" spans="9:9" x14ac:dyDescent="0.4">
      <c r="I14189" s="1"/>
    </row>
    <row r="14191" spans="9:9" x14ac:dyDescent="0.4">
      <c r="I14191" s="1"/>
    </row>
    <row r="14192" spans="9:9" x14ac:dyDescent="0.4">
      <c r="I14192" s="1"/>
    </row>
    <row r="14194" spans="9:9" x14ac:dyDescent="0.4">
      <c r="I14194" s="1"/>
    </row>
    <row r="14202" spans="9:9" x14ac:dyDescent="0.4">
      <c r="I14202" s="1"/>
    </row>
    <row r="14216" spans="9:9" x14ac:dyDescent="0.4">
      <c r="I14216" s="1"/>
    </row>
    <row r="14233" spans="9:9" x14ac:dyDescent="0.4">
      <c r="I14233" s="1"/>
    </row>
    <row r="14234" spans="9:9" x14ac:dyDescent="0.4">
      <c r="I14234" s="1"/>
    </row>
    <row r="14240" spans="9:9" x14ac:dyDescent="0.4">
      <c r="I14240" s="1"/>
    </row>
    <row r="14245" spans="9:9" x14ac:dyDescent="0.4">
      <c r="I14245" s="1"/>
    </row>
    <row r="14248" spans="9:9" x14ac:dyDescent="0.4">
      <c r="I14248" s="1"/>
    </row>
    <row r="14255" spans="9:9" x14ac:dyDescent="0.4">
      <c r="I14255" s="1"/>
    </row>
    <row r="14258" spans="9:9" x14ac:dyDescent="0.4">
      <c r="I14258" s="1"/>
    </row>
    <row r="14263" spans="9:9" x14ac:dyDescent="0.4">
      <c r="I14263" s="1"/>
    </row>
    <row r="14271" spans="9:9" x14ac:dyDescent="0.4">
      <c r="I14271" s="1"/>
    </row>
    <row r="14272" spans="9:9" x14ac:dyDescent="0.4">
      <c r="I14272" s="1"/>
    </row>
    <row r="14277" spans="9:9" x14ac:dyDescent="0.4">
      <c r="I14277" s="1"/>
    </row>
    <row r="14282" spans="9:9" x14ac:dyDescent="0.4">
      <c r="I14282" s="1"/>
    </row>
    <row r="14288" spans="9:9" x14ac:dyDescent="0.4">
      <c r="I14288" s="1"/>
    </row>
    <row r="14292" spans="9:9" x14ac:dyDescent="0.4">
      <c r="I14292" s="1"/>
    </row>
    <row r="14293" spans="9:9" x14ac:dyDescent="0.4">
      <c r="I14293" s="1"/>
    </row>
    <row r="14299" spans="9:9" x14ac:dyDescent="0.4">
      <c r="I14299" s="1"/>
    </row>
    <row r="14301" spans="9:9" x14ac:dyDescent="0.4">
      <c r="I14301" s="1"/>
    </row>
    <row r="14304" spans="9:9" x14ac:dyDescent="0.4">
      <c r="I14304" s="1"/>
    </row>
    <row r="14305" spans="6:9" x14ac:dyDescent="0.4">
      <c r="I14305" s="1"/>
    </row>
    <row r="14306" spans="6:9" x14ac:dyDescent="0.4">
      <c r="I14306" s="1"/>
    </row>
    <row r="14307" spans="6:9" x14ac:dyDescent="0.4">
      <c r="I14307" s="1"/>
    </row>
    <row r="14308" spans="6:9" x14ac:dyDescent="0.4">
      <c r="I14308" s="1"/>
    </row>
    <row r="14309" spans="6:9" x14ac:dyDescent="0.4">
      <c r="I14309" s="1"/>
    </row>
    <row r="14315" spans="6:9" x14ac:dyDescent="0.4">
      <c r="F14315" s="1"/>
    </row>
    <row r="14326" spans="9:9" x14ac:dyDescent="0.4">
      <c r="I14326" s="1"/>
    </row>
    <row r="14329" spans="9:9" x14ac:dyDescent="0.4">
      <c r="I14329" s="1"/>
    </row>
    <row r="14335" spans="9:9" x14ac:dyDescent="0.4">
      <c r="I14335" s="1"/>
    </row>
    <row r="14338" spans="9:9" x14ac:dyDescent="0.4">
      <c r="I14338" s="1"/>
    </row>
    <row r="14381" spans="9:9" x14ac:dyDescent="0.4">
      <c r="I14381" s="1"/>
    </row>
    <row r="14403" spans="9:9" x14ac:dyDescent="0.4">
      <c r="I14403" s="1"/>
    </row>
    <row r="14405" spans="9:9" x14ac:dyDescent="0.4">
      <c r="I14405" s="1"/>
    </row>
    <row r="14409" spans="9:9" x14ac:dyDescent="0.4">
      <c r="I14409" s="1"/>
    </row>
    <row r="14418" spans="9:9" x14ac:dyDescent="0.4">
      <c r="I14418" s="1"/>
    </row>
    <row r="14419" spans="9:9" x14ac:dyDescent="0.4">
      <c r="I14419" s="1"/>
    </row>
    <row r="14420" spans="9:9" x14ac:dyDescent="0.4">
      <c r="I14420" s="1"/>
    </row>
    <row r="14425" spans="9:9" x14ac:dyDescent="0.4">
      <c r="I14425" s="1"/>
    </row>
    <row r="14428" spans="9:9" x14ac:dyDescent="0.4">
      <c r="I14428" s="1"/>
    </row>
    <row r="14437" spans="6:9" x14ac:dyDescent="0.4">
      <c r="I14437" s="1"/>
    </row>
    <row r="14440" spans="6:9" x14ac:dyDescent="0.4">
      <c r="I14440" s="1"/>
    </row>
    <row r="14443" spans="6:9" x14ac:dyDescent="0.4">
      <c r="I14443" s="1"/>
    </row>
    <row r="14447" spans="6:9" x14ac:dyDescent="0.4">
      <c r="F14447" s="1"/>
    </row>
    <row r="14452" spans="6:9" x14ac:dyDescent="0.4">
      <c r="F14452" s="1"/>
    </row>
    <row r="14462" spans="6:9" x14ac:dyDescent="0.4">
      <c r="I14462" s="1"/>
    </row>
    <row r="14467" spans="9:9" x14ac:dyDescent="0.4">
      <c r="I14467" s="1"/>
    </row>
    <row r="14469" spans="9:9" x14ac:dyDescent="0.4">
      <c r="I14469" s="1"/>
    </row>
    <row r="14471" spans="9:9" x14ac:dyDescent="0.4">
      <c r="I14471" s="1"/>
    </row>
    <row r="14476" spans="9:9" x14ac:dyDescent="0.4">
      <c r="I14476" s="1"/>
    </row>
    <row r="14483" spans="6:9" x14ac:dyDescent="0.4">
      <c r="I14483" s="1"/>
    </row>
    <row r="14489" spans="6:9" x14ac:dyDescent="0.4">
      <c r="F14489" s="1"/>
      <c r="I14489" s="1"/>
    </row>
    <row r="14491" spans="6:9" x14ac:dyDescent="0.4">
      <c r="I14491" s="1"/>
    </row>
    <row r="14496" spans="6:9" x14ac:dyDescent="0.4">
      <c r="I14496" s="1"/>
    </row>
    <row r="14499" spans="6:6" x14ac:dyDescent="0.4">
      <c r="F14499" s="1"/>
    </row>
    <row r="14509" spans="6:6" x14ac:dyDescent="0.4">
      <c r="F14509" s="1"/>
    </row>
    <row r="14517" spans="6:9" x14ac:dyDescent="0.4">
      <c r="I14517" s="1"/>
    </row>
    <row r="14518" spans="6:9" x14ac:dyDescent="0.4">
      <c r="I14518" s="1"/>
    </row>
    <row r="14522" spans="6:9" x14ac:dyDescent="0.4">
      <c r="I14522" s="1"/>
    </row>
    <row r="14523" spans="6:9" x14ac:dyDescent="0.4">
      <c r="F14523" s="1"/>
    </row>
    <row r="14535" spans="6:9" x14ac:dyDescent="0.4">
      <c r="I14535" s="1"/>
    </row>
    <row r="14536" spans="6:9" x14ac:dyDescent="0.4">
      <c r="I14536" s="1"/>
    </row>
    <row r="14537" spans="6:9" x14ac:dyDescent="0.4">
      <c r="I14537" s="1"/>
    </row>
    <row r="14544" spans="6:9" x14ac:dyDescent="0.4">
      <c r="F14544" s="1"/>
    </row>
    <row r="14546" spans="6:9" x14ac:dyDescent="0.4">
      <c r="I14546" s="1"/>
    </row>
    <row r="14560" spans="6:9" x14ac:dyDescent="0.4">
      <c r="F14560" s="1"/>
    </row>
    <row r="14595" spans="6:9" x14ac:dyDescent="0.4">
      <c r="F14595" s="1"/>
    </row>
    <row r="14600" spans="6:9" x14ac:dyDescent="0.4">
      <c r="I14600" s="1"/>
    </row>
    <row r="14601" spans="6:9" x14ac:dyDescent="0.4">
      <c r="I14601" s="1"/>
    </row>
    <row r="14607" spans="6:9" x14ac:dyDescent="0.4">
      <c r="I14607" s="1"/>
    </row>
    <row r="14608" spans="6:9" x14ac:dyDescent="0.4">
      <c r="I14608" s="1"/>
    </row>
    <row r="14622" spans="9:9" x14ac:dyDescent="0.4">
      <c r="I14622" s="1"/>
    </row>
    <row r="14623" spans="9:9" x14ac:dyDescent="0.4">
      <c r="I14623" s="1"/>
    </row>
    <row r="14625" spans="9:9" x14ac:dyDescent="0.4">
      <c r="I14625" s="1"/>
    </row>
    <row r="14636" spans="9:9" x14ac:dyDescent="0.4">
      <c r="I14636" s="1"/>
    </row>
    <row r="14645" spans="9:9" x14ac:dyDescent="0.4">
      <c r="I14645" s="1"/>
    </row>
    <row r="14649" spans="9:9" x14ac:dyDescent="0.4">
      <c r="I14649" s="1"/>
    </row>
    <row r="14662" spans="6:9" x14ac:dyDescent="0.4">
      <c r="F14662" s="1"/>
    </row>
    <row r="14665" spans="6:9" x14ac:dyDescent="0.4">
      <c r="I14665" s="1"/>
    </row>
    <row r="14667" spans="6:9" x14ac:dyDescent="0.4">
      <c r="I14667" s="1"/>
    </row>
    <row r="14671" spans="6:9" x14ac:dyDescent="0.4">
      <c r="I14671" s="1"/>
    </row>
    <row r="14687" spans="9:9" x14ac:dyDescent="0.4">
      <c r="I14687" s="1"/>
    </row>
    <row r="14688" spans="9:9" x14ac:dyDescent="0.4">
      <c r="I14688" s="1"/>
    </row>
    <row r="14692" spans="9:9" x14ac:dyDescent="0.4">
      <c r="I14692" s="1"/>
    </row>
    <row r="14707" spans="9:9" x14ac:dyDescent="0.4">
      <c r="I14707" s="1"/>
    </row>
    <row r="14711" spans="9:9" x14ac:dyDescent="0.4">
      <c r="I14711" s="1"/>
    </row>
    <row r="14714" spans="9:9" x14ac:dyDescent="0.4">
      <c r="I14714" s="1"/>
    </row>
    <row r="14720" spans="9:9" x14ac:dyDescent="0.4">
      <c r="I14720" s="1"/>
    </row>
    <row r="14737" spans="9:9" x14ac:dyDescent="0.4">
      <c r="I14737" s="1"/>
    </row>
    <row r="14739" spans="9:9" x14ac:dyDescent="0.4">
      <c r="I14739" s="1"/>
    </row>
    <row r="14742" spans="9:9" x14ac:dyDescent="0.4">
      <c r="I14742" s="1"/>
    </row>
    <row r="14750" spans="9:9" x14ac:dyDescent="0.4">
      <c r="I14750" s="1"/>
    </row>
    <row r="14751" spans="9:9" x14ac:dyDescent="0.4">
      <c r="I14751" s="1"/>
    </row>
    <row r="14753" spans="9:9" x14ac:dyDescent="0.4">
      <c r="I14753" s="1"/>
    </row>
    <row r="14764" spans="9:9" x14ac:dyDescent="0.4">
      <c r="I14764" s="1"/>
    </row>
    <row r="14765" spans="9:9" x14ac:dyDescent="0.4">
      <c r="I14765" s="1"/>
    </row>
    <row r="14767" spans="9:9" x14ac:dyDescent="0.4">
      <c r="I14767" s="1"/>
    </row>
    <row r="14777" spans="6:9" x14ac:dyDescent="0.4">
      <c r="I14777" s="1"/>
    </row>
    <row r="14778" spans="6:9" x14ac:dyDescent="0.4">
      <c r="I14778" s="1"/>
    </row>
    <row r="14780" spans="6:9" x14ac:dyDescent="0.4">
      <c r="I14780" s="1"/>
    </row>
    <row r="14784" spans="6:9" x14ac:dyDescent="0.4">
      <c r="F14784" s="1"/>
    </row>
    <row r="14785" spans="9:9" x14ac:dyDescent="0.4">
      <c r="I14785" s="1"/>
    </row>
    <row r="14789" spans="9:9" x14ac:dyDescent="0.4">
      <c r="I14789" s="1"/>
    </row>
    <row r="14791" spans="9:9" x14ac:dyDescent="0.4">
      <c r="I14791" s="1"/>
    </row>
    <row r="14793" spans="9:9" x14ac:dyDescent="0.4">
      <c r="I14793" s="1"/>
    </row>
    <row r="14795" spans="9:9" x14ac:dyDescent="0.4">
      <c r="I14795" s="1"/>
    </row>
    <row r="14799" spans="9:9" x14ac:dyDescent="0.4">
      <c r="I14799" s="1"/>
    </row>
    <row r="14803" spans="9:9" x14ac:dyDescent="0.4">
      <c r="I14803" s="1"/>
    </row>
    <row r="14808" spans="9:9" x14ac:dyDescent="0.4">
      <c r="I14808" s="1"/>
    </row>
    <row r="14809" spans="9:9" x14ac:dyDescent="0.4">
      <c r="I14809" s="1"/>
    </row>
    <row r="14811" spans="9:9" x14ac:dyDescent="0.4">
      <c r="I14811" s="1"/>
    </row>
    <row r="14836" spans="9:9" x14ac:dyDescent="0.4">
      <c r="I14836" s="1"/>
    </row>
    <row r="14847" spans="9:9" x14ac:dyDescent="0.4">
      <c r="I14847" s="1"/>
    </row>
    <row r="14853" spans="9:9" x14ac:dyDescent="0.4">
      <c r="I14853" s="1"/>
    </row>
    <row r="14854" spans="9:9" x14ac:dyDescent="0.4">
      <c r="I14854" s="1"/>
    </row>
    <row r="14856" spans="9:9" x14ac:dyDescent="0.4">
      <c r="I14856" s="1"/>
    </row>
    <row r="14860" spans="9:9" x14ac:dyDescent="0.4">
      <c r="I14860" s="1"/>
    </row>
    <row r="14861" spans="9:9" x14ac:dyDescent="0.4">
      <c r="I14861" s="1"/>
    </row>
    <row r="14865" spans="9:9" x14ac:dyDescent="0.4">
      <c r="I14865" s="1"/>
    </row>
    <row r="14872" spans="9:9" x14ac:dyDescent="0.4">
      <c r="I14872" s="1"/>
    </row>
    <row r="14873" spans="9:9" x14ac:dyDescent="0.4">
      <c r="I14873" s="1"/>
    </row>
    <row r="14880" spans="9:9" x14ac:dyDescent="0.4">
      <c r="I14880" s="1"/>
    </row>
    <row r="14881" spans="9:9" x14ac:dyDescent="0.4">
      <c r="I14881" s="1"/>
    </row>
    <row r="14890" spans="9:9" x14ac:dyDescent="0.4">
      <c r="I14890" s="1"/>
    </row>
    <row r="14892" spans="9:9" x14ac:dyDescent="0.4">
      <c r="I14892" s="1"/>
    </row>
    <row r="14896" spans="9:9" x14ac:dyDescent="0.4">
      <c r="I14896" s="1"/>
    </row>
    <row r="14902" spans="9:9" x14ac:dyDescent="0.4">
      <c r="I14902" s="1"/>
    </row>
    <row r="14903" spans="9:9" x14ac:dyDescent="0.4">
      <c r="I14903" s="1"/>
    </row>
    <row r="14905" spans="9:9" x14ac:dyDescent="0.4">
      <c r="I14905" s="1"/>
    </row>
    <row r="14906" spans="9:9" x14ac:dyDescent="0.4">
      <c r="I14906" s="1"/>
    </row>
    <row r="14914" spans="9:9" x14ac:dyDescent="0.4">
      <c r="I14914" s="1"/>
    </row>
    <row r="14918" spans="9:9" x14ac:dyDescent="0.4">
      <c r="I14918" s="1"/>
    </row>
    <row r="14919" spans="9:9" x14ac:dyDescent="0.4">
      <c r="I14919" s="1"/>
    </row>
    <row r="14920" spans="9:9" x14ac:dyDescent="0.4">
      <c r="I14920" s="1"/>
    </row>
    <row r="14923" spans="9:9" x14ac:dyDescent="0.4">
      <c r="I14923" s="1"/>
    </row>
    <row r="14932" spans="9:9" x14ac:dyDescent="0.4">
      <c r="I14932" s="1"/>
    </row>
    <row r="14933" spans="9:9" x14ac:dyDescent="0.4">
      <c r="I14933" s="1"/>
    </row>
    <row r="14937" spans="9:9" x14ac:dyDescent="0.4">
      <c r="I14937" s="1"/>
    </row>
    <row r="14938" spans="9:9" x14ac:dyDescent="0.4">
      <c r="I14938" s="1"/>
    </row>
    <row r="14946" spans="9:9" x14ac:dyDescent="0.4">
      <c r="I14946" s="1"/>
    </row>
    <row r="14949" spans="9:9" x14ac:dyDescent="0.4">
      <c r="I14949" s="1"/>
    </row>
    <row r="14950" spans="9:9" x14ac:dyDescent="0.4">
      <c r="I14950" s="1"/>
    </row>
    <row r="14952" spans="9:9" x14ac:dyDescent="0.4">
      <c r="I14952" s="1"/>
    </row>
    <row r="14953" spans="9:9" x14ac:dyDescent="0.4">
      <c r="I14953" s="1"/>
    </row>
    <row r="14954" spans="9:9" x14ac:dyDescent="0.4">
      <c r="I14954" s="1"/>
    </row>
    <row r="14956" spans="9:9" x14ac:dyDescent="0.4">
      <c r="I14956" s="1"/>
    </row>
    <row r="14958" spans="9:9" x14ac:dyDescent="0.4">
      <c r="I14958" s="1"/>
    </row>
    <row r="14964" spans="9:9" x14ac:dyDescent="0.4">
      <c r="I14964" s="1"/>
    </row>
    <row r="14976" spans="9:9" x14ac:dyDescent="0.4">
      <c r="I14976" s="1"/>
    </row>
    <row r="14978" spans="9:9" x14ac:dyDescent="0.4">
      <c r="I14978" s="1"/>
    </row>
    <row r="14985" spans="9:9" x14ac:dyDescent="0.4">
      <c r="I14985" s="1"/>
    </row>
    <row r="14997" spans="9:9" x14ac:dyDescent="0.4">
      <c r="I14997" s="1"/>
    </row>
    <row r="14998" spans="9:9" x14ac:dyDescent="0.4">
      <c r="I14998" s="1"/>
    </row>
    <row r="14999" spans="9:9" x14ac:dyDescent="0.4">
      <c r="I14999" s="1"/>
    </row>
    <row r="15007" spans="9:9" x14ac:dyDescent="0.4">
      <c r="I15007" s="1"/>
    </row>
    <row r="15012" spans="9:9" x14ac:dyDescent="0.4">
      <c r="I15012" s="1"/>
    </row>
    <row r="15015" spans="9:9" x14ac:dyDescent="0.4">
      <c r="I15015" s="1"/>
    </row>
    <row r="15020" spans="9:9" x14ac:dyDescent="0.4">
      <c r="I15020" s="1"/>
    </row>
    <row r="15022" spans="9:9" x14ac:dyDescent="0.4">
      <c r="I15022" s="1"/>
    </row>
    <row r="15024" spans="9:9" x14ac:dyDescent="0.4">
      <c r="I15024" s="1"/>
    </row>
    <row r="15026" spans="9:9" x14ac:dyDescent="0.4">
      <c r="I15026" s="1"/>
    </row>
    <row r="15029" spans="9:9" x14ac:dyDescent="0.4">
      <c r="I15029" s="1"/>
    </row>
    <row r="15031" spans="9:9" x14ac:dyDescent="0.4">
      <c r="I15031" s="1"/>
    </row>
    <row r="15034" spans="9:9" x14ac:dyDescent="0.4">
      <c r="I15034" s="1"/>
    </row>
    <row r="15037" spans="9:9" x14ac:dyDescent="0.4">
      <c r="I15037" s="1"/>
    </row>
    <row r="15038" spans="9:9" x14ac:dyDescent="0.4">
      <c r="I15038" s="1"/>
    </row>
    <row r="15044" spans="9:9" x14ac:dyDescent="0.4">
      <c r="I15044" s="1"/>
    </row>
    <row r="15045" spans="9:9" x14ac:dyDescent="0.4">
      <c r="I15045" s="1"/>
    </row>
    <row r="15047" spans="9:9" x14ac:dyDescent="0.4">
      <c r="I15047" s="1"/>
    </row>
    <row r="15050" spans="9:9" x14ac:dyDescent="0.4">
      <c r="I15050" s="1"/>
    </row>
    <row r="15054" spans="9:9" x14ac:dyDescent="0.4">
      <c r="I15054" s="1"/>
    </row>
    <row r="15065" spans="6:9" x14ac:dyDescent="0.4">
      <c r="I15065" s="1"/>
    </row>
    <row r="15066" spans="6:9" x14ac:dyDescent="0.4">
      <c r="I15066" s="1"/>
    </row>
    <row r="15071" spans="6:9" x14ac:dyDescent="0.4">
      <c r="F15071" s="1"/>
    </row>
    <row r="15072" spans="6:9" x14ac:dyDescent="0.4">
      <c r="I15072" s="1"/>
    </row>
    <row r="15073" spans="6:9" x14ac:dyDescent="0.4">
      <c r="F15073" s="1"/>
    </row>
    <row r="15075" spans="6:9" x14ac:dyDescent="0.4">
      <c r="F15075" s="1"/>
      <c r="I15075" s="1"/>
    </row>
    <row r="15076" spans="6:9" x14ac:dyDescent="0.4">
      <c r="F15076" s="1"/>
    </row>
    <row r="15077" spans="6:9" x14ac:dyDescent="0.4">
      <c r="F15077" s="1"/>
      <c r="I15077" s="1"/>
    </row>
    <row r="15078" spans="6:9" x14ac:dyDescent="0.4">
      <c r="F15078" s="1"/>
      <c r="I15078" s="1"/>
    </row>
    <row r="15079" spans="6:9" x14ac:dyDescent="0.4">
      <c r="F15079" s="1"/>
    </row>
    <row r="15080" spans="6:9" x14ac:dyDescent="0.4">
      <c r="F15080" s="1"/>
      <c r="I15080" s="1"/>
    </row>
    <row r="15081" spans="6:9" x14ac:dyDescent="0.4">
      <c r="F15081" s="1"/>
    </row>
    <row r="15084" spans="6:9" x14ac:dyDescent="0.4">
      <c r="F15084" s="1"/>
    </row>
    <row r="15086" spans="6:9" x14ac:dyDescent="0.4">
      <c r="F15086" s="1"/>
    </row>
    <row r="15087" spans="6:9" x14ac:dyDescent="0.4">
      <c r="F15087" s="1"/>
    </row>
    <row r="15088" spans="6:9" x14ac:dyDescent="0.4">
      <c r="F15088" s="1"/>
    </row>
    <row r="15089" spans="6:9" x14ac:dyDescent="0.4">
      <c r="F15089" s="1"/>
    </row>
    <row r="15090" spans="6:9" x14ac:dyDescent="0.4">
      <c r="F15090" s="1"/>
    </row>
    <row r="15091" spans="6:9" x14ac:dyDescent="0.4">
      <c r="F15091" s="1"/>
    </row>
    <row r="15095" spans="6:9" x14ac:dyDescent="0.4">
      <c r="F15095" s="1"/>
    </row>
    <row r="15097" spans="6:9" x14ac:dyDescent="0.4">
      <c r="F15097" s="1"/>
      <c r="I15097" s="1"/>
    </row>
    <row r="15098" spans="6:9" x14ac:dyDescent="0.4">
      <c r="F15098" s="1"/>
    </row>
    <row r="15099" spans="6:9" x14ac:dyDescent="0.4">
      <c r="F15099" s="1"/>
    </row>
    <row r="15100" spans="6:9" x14ac:dyDescent="0.4">
      <c r="F15100" s="1"/>
    </row>
    <row r="15101" spans="6:9" x14ac:dyDescent="0.4">
      <c r="F15101" s="1"/>
    </row>
    <row r="15104" spans="6:9" x14ac:dyDescent="0.4">
      <c r="F15104" s="1"/>
    </row>
    <row r="15106" spans="6:9" x14ac:dyDescent="0.4">
      <c r="I15106" s="1"/>
    </row>
    <row r="15108" spans="6:9" x14ac:dyDescent="0.4">
      <c r="F15108" s="1"/>
    </row>
    <row r="15109" spans="6:9" x14ac:dyDescent="0.4">
      <c r="F15109" s="1"/>
    </row>
    <row r="15110" spans="6:9" x14ac:dyDescent="0.4">
      <c r="F15110" s="1"/>
    </row>
    <row r="15111" spans="6:9" x14ac:dyDescent="0.4">
      <c r="F15111" s="1"/>
    </row>
    <row r="15112" spans="6:9" x14ac:dyDescent="0.4">
      <c r="F15112" s="1"/>
    </row>
    <row r="15113" spans="6:9" x14ac:dyDescent="0.4">
      <c r="F15113" s="1"/>
    </row>
    <row r="15114" spans="6:9" x14ac:dyDescent="0.4">
      <c r="F15114" s="1"/>
    </row>
    <row r="15115" spans="6:9" x14ac:dyDescent="0.4">
      <c r="F15115" s="1"/>
    </row>
    <row r="15116" spans="6:9" x14ac:dyDescent="0.4">
      <c r="I15116" s="1"/>
    </row>
    <row r="15119" spans="6:9" x14ac:dyDescent="0.4">
      <c r="F15119" s="1"/>
    </row>
    <row r="15120" spans="6:9" x14ac:dyDescent="0.4">
      <c r="F15120" s="1"/>
    </row>
    <row r="15121" spans="6:9" x14ac:dyDescent="0.4">
      <c r="F15121" s="1"/>
    </row>
    <row r="15123" spans="6:9" x14ac:dyDescent="0.4">
      <c r="F15123" s="1"/>
    </row>
    <row r="15124" spans="6:9" x14ac:dyDescent="0.4">
      <c r="F15124" s="1"/>
    </row>
    <row r="15125" spans="6:9" x14ac:dyDescent="0.4">
      <c r="F15125" s="1"/>
    </row>
    <row r="15126" spans="6:9" x14ac:dyDescent="0.4">
      <c r="F15126" s="1"/>
    </row>
    <row r="15128" spans="6:9" x14ac:dyDescent="0.4">
      <c r="I15128" s="1"/>
    </row>
    <row r="15130" spans="6:9" x14ac:dyDescent="0.4">
      <c r="F15130" s="1"/>
    </row>
    <row r="15131" spans="6:9" x14ac:dyDescent="0.4">
      <c r="F15131" s="1"/>
      <c r="I15131" s="1"/>
    </row>
    <row r="15133" spans="6:9" x14ac:dyDescent="0.4">
      <c r="F15133" s="1"/>
    </row>
    <row r="15134" spans="6:9" x14ac:dyDescent="0.4">
      <c r="F15134" s="1"/>
    </row>
    <row r="15135" spans="6:9" x14ac:dyDescent="0.4">
      <c r="F15135" s="1"/>
    </row>
    <row r="15136" spans="6:9" x14ac:dyDescent="0.4">
      <c r="F15136" s="1"/>
      <c r="I15136" s="1"/>
    </row>
    <row r="15137" spans="6:9" x14ac:dyDescent="0.4">
      <c r="F15137" s="1"/>
    </row>
    <row r="15139" spans="6:9" x14ac:dyDescent="0.4">
      <c r="F15139" s="1"/>
    </row>
    <row r="15141" spans="6:9" x14ac:dyDescent="0.4">
      <c r="F15141" s="1"/>
    </row>
    <row r="15142" spans="6:9" x14ac:dyDescent="0.4">
      <c r="F15142" s="1"/>
    </row>
    <row r="15145" spans="6:9" x14ac:dyDescent="0.4">
      <c r="F15145" s="1"/>
    </row>
    <row r="15150" spans="6:9" x14ac:dyDescent="0.4">
      <c r="I15150" s="1"/>
    </row>
    <row r="15153" spans="9:9" x14ac:dyDescent="0.4">
      <c r="I15153" s="1"/>
    </row>
    <row r="15155" spans="9:9" x14ac:dyDescent="0.4">
      <c r="I15155" s="1"/>
    </row>
    <row r="15166" spans="9:9" x14ac:dyDescent="0.4">
      <c r="I15166" s="1"/>
    </row>
    <row r="15167" spans="9:9" x14ac:dyDescent="0.4">
      <c r="I15167" s="1"/>
    </row>
    <row r="15177" spans="9:9" x14ac:dyDescent="0.4">
      <c r="I15177" s="1"/>
    </row>
    <row r="15182" spans="9:9" x14ac:dyDescent="0.4">
      <c r="I15182" s="1"/>
    </row>
    <row r="15186" spans="9:9" x14ac:dyDescent="0.4">
      <c r="I15186" s="1"/>
    </row>
    <row r="15193" spans="9:9" x14ac:dyDescent="0.4">
      <c r="I15193" s="1"/>
    </row>
    <row r="15199" spans="9:9" x14ac:dyDescent="0.4">
      <c r="I15199" s="1"/>
    </row>
    <row r="15205" spans="9:9" x14ac:dyDescent="0.4">
      <c r="I15205" s="1"/>
    </row>
    <row r="15208" spans="9:9" x14ac:dyDescent="0.4">
      <c r="I15208" s="1"/>
    </row>
    <row r="15214" spans="9:9" x14ac:dyDescent="0.4">
      <c r="I15214" s="1"/>
    </row>
    <row r="15216" spans="9:9" x14ac:dyDescent="0.4">
      <c r="I15216" s="1"/>
    </row>
    <row r="15222" spans="9:9" x14ac:dyDescent="0.4">
      <c r="I15222" s="1"/>
    </row>
    <row r="15223" spans="9:9" x14ac:dyDescent="0.4">
      <c r="I15223" s="1"/>
    </row>
    <row r="15225" spans="9:9" x14ac:dyDescent="0.4">
      <c r="I15225" s="1"/>
    </row>
    <row r="15226" spans="9:9" x14ac:dyDescent="0.4">
      <c r="I15226" s="1"/>
    </row>
    <row r="15230" spans="9:9" x14ac:dyDescent="0.4">
      <c r="I15230" s="1"/>
    </row>
    <row r="15233" spans="9:9" x14ac:dyDescent="0.4">
      <c r="I15233" s="1"/>
    </row>
    <row r="15240" spans="9:9" x14ac:dyDescent="0.4">
      <c r="I15240" s="1"/>
    </row>
    <row r="15242" spans="9:9" x14ac:dyDescent="0.4">
      <c r="I15242" s="1"/>
    </row>
    <row r="15253" spans="9:9" x14ac:dyDescent="0.4">
      <c r="I15253" s="1"/>
    </row>
    <row r="15255" spans="9:9" x14ac:dyDescent="0.4">
      <c r="I15255" s="1"/>
    </row>
    <row r="15264" spans="9:9" x14ac:dyDescent="0.4">
      <c r="I15264" s="1"/>
    </row>
    <row r="15273" spans="6:9" x14ac:dyDescent="0.4">
      <c r="I15273" s="1"/>
    </row>
    <row r="15278" spans="6:9" x14ac:dyDescent="0.4">
      <c r="I15278" s="1"/>
    </row>
    <row r="15279" spans="6:9" x14ac:dyDescent="0.4">
      <c r="F15279" s="1"/>
    </row>
    <row r="15283" spans="6:9" x14ac:dyDescent="0.4">
      <c r="I15283" s="1"/>
    </row>
    <row r="15287" spans="6:9" x14ac:dyDescent="0.4">
      <c r="F15287" s="1"/>
    </row>
    <row r="15290" spans="6:9" x14ac:dyDescent="0.4">
      <c r="I15290" s="1"/>
    </row>
    <row r="15294" spans="6:9" x14ac:dyDescent="0.4">
      <c r="I15294" s="1"/>
    </row>
    <row r="15304" spans="9:9" x14ac:dyDescent="0.4">
      <c r="I15304" s="1"/>
    </row>
    <row r="15305" spans="9:9" x14ac:dyDescent="0.4">
      <c r="I15305" s="1"/>
    </row>
    <row r="15309" spans="9:9" x14ac:dyDescent="0.4">
      <c r="I15309" s="1"/>
    </row>
    <row r="15314" spans="6:9" x14ac:dyDescent="0.4">
      <c r="I15314" s="1"/>
    </row>
    <row r="15315" spans="6:9" x14ac:dyDescent="0.4">
      <c r="F15315" s="1"/>
    </row>
    <row r="15316" spans="6:9" x14ac:dyDescent="0.4">
      <c r="I15316" s="1"/>
    </row>
    <row r="15321" spans="6:9" x14ac:dyDescent="0.4">
      <c r="I15321" s="1"/>
    </row>
    <row r="15332" spans="9:9" x14ac:dyDescent="0.4">
      <c r="I15332" s="1"/>
    </row>
    <row r="15338" spans="9:9" x14ac:dyDescent="0.4">
      <c r="I15338" s="1"/>
    </row>
    <row r="15348" spans="9:9" x14ac:dyDescent="0.4">
      <c r="I15348" s="1"/>
    </row>
    <row r="15349" spans="9:9" x14ac:dyDescent="0.4">
      <c r="I15349" s="1"/>
    </row>
    <row r="15360" spans="9:9" x14ac:dyDescent="0.4">
      <c r="I15360" s="1"/>
    </row>
    <row r="15363" spans="9:9" x14ac:dyDescent="0.4">
      <c r="I15363" s="1"/>
    </row>
    <row r="15369" spans="9:9" x14ac:dyDescent="0.4">
      <c r="I15369" s="1"/>
    </row>
    <row r="15371" spans="9:9" x14ac:dyDescent="0.4">
      <c r="I15371" s="1"/>
    </row>
    <row r="15373" spans="9:9" x14ac:dyDescent="0.4">
      <c r="I15373" s="1"/>
    </row>
    <row r="15376" spans="9:9" x14ac:dyDescent="0.4">
      <c r="I15376" s="1"/>
    </row>
    <row r="15380" spans="9:9" x14ac:dyDescent="0.4">
      <c r="I15380" s="1"/>
    </row>
    <row r="15381" spans="9:9" x14ac:dyDescent="0.4">
      <c r="I15381" s="1"/>
    </row>
    <row r="15384" spans="9:9" x14ac:dyDescent="0.4">
      <c r="I15384" s="1"/>
    </row>
    <row r="15387" spans="9:9" x14ac:dyDescent="0.4">
      <c r="I15387" s="1"/>
    </row>
    <row r="15389" spans="9:9" x14ac:dyDescent="0.4">
      <c r="I15389" s="1"/>
    </row>
    <row r="15394" spans="9:9" x14ac:dyDescent="0.4">
      <c r="I15394" s="1"/>
    </row>
    <row r="15397" spans="9:9" x14ac:dyDescent="0.4">
      <c r="I15397" s="1"/>
    </row>
    <row r="15400" spans="9:9" x14ac:dyDescent="0.4">
      <c r="I15400" s="1"/>
    </row>
    <row r="15401" spans="9:9" x14ac:dyDescent="0.4">
      <c r="I15401" s="1"/>
    </row>
    <row r="15403" spans="9:9" x14ac:dyDescent="0.4">
      <c r="I15403" s="1"/>
    </row>
    <row r="15412" spans="9:9" x14ac:dyDescent="0.4">
      <c r="I15412" s="1"/>
    </row>
    <row r="15415" spans="9:9" x14ac:dyDescent="0.4">
      <c r="I15415" s="1"/>
    </row>
    <row r="15417" spans="9:9" x14ac:dyDescent="0.4">
      <c r="I15417" s="1"/>
    </row>
    <row r="15423" spans="9:9" x14ac:dyDescent="0.4">
      <c r="I15423" s="1"/>
    </row>
    <row r="15424" spans="9:9" x14ac:dyDescent="0.4">
      <c r="I15424" s="1"/>
    </row>
    <row r="15425" spans="9:9" x14ac:dyDescent="0.4">
      <c r="I15425" s="1"/>
    </row>
    <row r="15426" spans="9:9" x14ac:dyDescent="0.4">
      <c r="I15426" s="1"/>
    </row>
    <row r="15430" spans="9:9" x14ac:dyDescent="0.4">
      <c r="I15430" s="1"/>
    </row>
    <row r="15431" spans="9:9" x14ac:dyDescent="0.4">
      <c r="I15431" s="1"/>
    </row>
    <row r="15432" spans="9:9" x14ac:dyDescent="0.4">
      <c r="I15432" s="1"/>
    </row>
    <row r="15435" spans="9:9" x14ac:dyDescent="0.4">
      <c r="I15435" s="1"/>
    </row>
    <row r="15436" spans="9:9" x14ac:dyDescent="0.4">
      <c r="I15436" s="1"/>
    </row>
    <row r="15439" spans="9:9" x14ac:dyDescent="0.4">
      <c r="I15439" s="1"/>
    </row>
    <row r="15440" spans="9:9" x14ac:dyDescent="0.4">
      <c r="I15440" s="1"/>
    </row>
    <row r="15441" spans="9:9" x14ac:dyDescent="0.4">
      <c r="I15441" s="1"/>
    </row>
    <row r="15442" spans="9:9" x14ac:dyDescent="0.4">
      <c r="I15442" s="1"/>
    </row>
    <row r="15447" spans="9:9" x14ac:dyDescent="0.4">
      <c r="I15447" s="1"/>
    </row>
    <row r="15457" spans="9:9" x14ac:dyDescent="0.4">
      <c r="I15457" s="1"/>
    </row>
    <row r="15465" spans="9:9" x14ac:dyDescent="0.4">
      <c r="I15465" s="1"/>
    </row>
    <row r="15466" spans="9:9" x14ac:dyDescent="0.4">
      <c r="I15466" s="1"/>
    </row>
    <row r="15473" spans="9:9" x14ac:dyDescent="0.4">
      <c r="I15473" s="1"/>
    </row>
    <row r="15476" spans="9:9" x14ac:dyDescent="0.4">
      <c r="I15476" s="1"/>
    </row>
    <row r="15477" spans="9:9" x14ac:dyDescent="0.4">
      <c r="I15477" s="1"/>
    </row>
    <row r="15478" spans="9:9" x14ac:dyDescent="0.4">
      <c r="I15478" s="1"/>
    </row>
    <row r="15487" spans="9:9" x14ac:dyDescent="0.4">
      <c r="I15487" s="1"/>
    </row>
    <row r="15501" spans="9:9" x14ac:dyDescent="0.4">
      <c r="I15501" s="1"/>
    </row>
    <row r="15507" spans="9:9" x14ac:dyDescent="0.4">
      <c r="I15507" s="1"/>
    </row>
    <row r="15509" spans="9:9" x14ac:dyDescent="0.4">
      <c r="I15509" s="1"/>
    </row>
    <row r="15512" spans="9:9" x14ac:dyDescent="0.4">
      <c r="I15512" s="1"/>
    </row>
    <row r="15515" spans="9:9" x14ac:dyDescent="0.4">
      <c r="I15515" s="1"/>
    </row>
    <row r="15516" spans="9:9" x14ac:dyDescent="0.4">
      <c r="I15516" s="1"/>
    </row>
    <row r="15521" spans="9:9" x14ac:dyDescent="0.4">
      <c r="I15521" s="1"/>
    </row>
    <row r="15522" spans="9:9" x14ac:dyDescent="0.4">
      <c r="I15522" s="1"/>
    </row>
    <row r="15526" spans="9:9" x14ac:dyDescent="0.4">
      <c r="I15526" s="1"/>
    </row>
    <row r="15527" spans="9:9" x14ac:dyDescent="0.4">
      <c r="I15527" s="1"/>
    </row>
    <row r="15532" spans="9:9" x14ac:dyDescent="0.4">
      <c r="I15532" s="1"/>
    </row>
    <row r="15543" spans="9:9" x14ac:dyDescent="0.4">
      <c r="I15543" s="1"/>
    </row>
    <row r="15544" spans="9:9" x14ac:dyDescent="0.4">
      <c r="I15544" s="1"/>
    </row>
    <row r="15547" spans="9:9" x14ac:dyDescent="0.4">
      <c r="I15547" s="1"/>
    </row>
    <row r="15550" spans="9:9" x14ac:dyDescent="0.4">
      <c r="I15550" s="1"/>
    </row>
    <row r="15557" spans="9:9" x14ac:dyDescent="0.4">
      <c r="I15557" s="1"/>
    </row>
    <row r="15560" spans="9:9" x14ac:dyDescent="0.4">
      <c r="I15560" s="1"/>
    </row>
    <row r="15561" spans="9:9" x14ac:dyDescent="0.4">
      <c r="I15561" s="1"/>
    </row>
    <row r="15563" spans="9:9" x14ac:dyDescent="0.4">
      <c r="I15563" s="1"/>
    </row>
    <row r="15567" spans="9:9" x14ac:dyDescent="0.4">
      <c r="I15567" s="1"/>
    </row>
    <row r="15569" spans="9:9" x14ac:dyDescent="0.4">
      <c r="I15569" s="1"/>
    </row>
    <row r="15572" spans="9:9" x14ac:dyDescent="0.4">
      <c r="I15572" s="1"/>
    </row>
    <row r="15577" spans="9:9" x14ac:dyDescent="0.4">
      <c r="I15577" s="1"/>
    </row>
    <row r="15579" spans="9:9" x14ac:dyDescent="0.4">
      <c r="I15579" s="1"/>
    </row>
    <row r="15580" spans="9:9" x14ac:dyDescent="0.4">
      <c r="I15580" s="1"/>
    </row>
    <row r="15582" spans="9:9" x14ac:dyDescent="0.4">
      <c r="I15582" s="1"/>
    </row>
    <row r="15583" spans="9:9" x14ac:dyDescent="0.4">
      <c r="I15583" s="1"/>
    </row>
    <row r="15585" spans="9:9" x14ac:dyDescent="0.4">
      <c r="I15585" s="1"/>
    </row>
    <row r="15588" spans="9:9" x14ac:dyDescent="0.4">
      <c r="I15588" s="1"/>
    </row>
    <row r="15591" spans="9:9" x14ac:dyDescent="0.4">
      <c r="I15591" s="1"/>
    </row>
    <row r="15592" spans="9:9" x14ac:dyDescent="0.4">
      <c r="I15592" s="1"/>
    </row>
    <row r="15597" spans="9:9" x14ac:dyDescent="0.4">
      <c r="I15597" s="1"/>
    </row>
    <row r="15606" spans="9:9" x14ac:dyDescent="0.4">
      <c r="I15606" s="1"/>
    </row>
    <row r="15608" spans="9:9" x14ac:dyDescent="0.4">
      <c r="I15608" s="1"/>
    </row>
    <row r="15617" spans="6:9" x14ac:dyDescent="0.4">
      <c r="F15617" s="1"/>
    </row>
    <row r="15620" spans="6:9" x14ac:dyDescent="0.4">
      <c r="F15620" s="1"/>
    </row>
    <row r="15627" spans="6:9" x14ac:dyDescent="0.4">
      <c r="F15627" s="1"/>
    </row>
    <row r="15629" spans="6:9" x14ac:dyDescent="0.4">
      <c r="I15629" s="1"/>
    </row>
    <row r="15636" spans="9:9" x14ac:dyDescent="0.4">
      <c r="I15636" s="1"/>
    </row>
    <row r="15646" spans="9:9" x14ac:dyDescent="0.4">
      <c r="I15646" s="1"/>
    </row>
    <row r="15654" spans="6:6" x14ac:dyDescent="0.4">
      <c r="F15654" s="1"/>
    </row>
    <row r="15660" spans="6:6" x14ac:dyDescent="0.4">
      <c r="F15660" s="1"/>
    </row>
    <row r="15669" spans="9:9" x14ac:dyDescent="0.4">
      <c r="I15669" s="1"/>
    </row>
    <row r="15687" spans="9:9" x14ac:dyDescent="0.4">
      <c r="I15687" s="1"/>
    </row>
    <row r="15694" spans="9:9" x14ac:dyDescent="0.4">
      <c r="I15694" s="1"/>
    </row>
    <row r="15695" spans="9:9" x14ac:dyDescent="0.4">
      <c r="I15695" s="1"/>
    </row>
    <row r="15696" spans="9:9" x14ac:dyDescent="0.4">
      <c r="I15696" s="1"/>
    </row>
    <row r="15699" spans="9:9" x14ac:dyDescent="0.4">
      <c r="I15699" s="1"/>
    </row>
    <row r="15703" spans="9:9" x14ac:dyDescent="0.4">
      <c r="I15703" s="1"/>
    </row>
    <row r="15705" spans="9:9" x14ac:dyDescent="0.4">
      <c r="I15705" s="1"/>
    </row>
    <row r="15710" spans="9:9" x14ac:dyDescent="0.4">
      <c r="I15710" s="1"/>
    </row>
    <row r="15718" spans="9:9" x14ac:dyDescent="0.4">
      <c r="I15718" s="1"/>
    </row>
    <row r="15721" spans="9:9" x14ac:dyDescent="0.4">
      <c r="I15721" s="1"/>
    </row>
    <row r="15722" spans="9:9" x14ac:dyDescent="0.4">
      <c r="I15722" s="1"/>
    </row>
    <row r="15728" spans="9:9" x14ac:dyDescent="0.4">
      <c r="I15728" s="1"/>
    </row>
    <row r="15729" spans="9:9" x14ac:dyDescent="0.4">
      <c r="I15729" s="1"/>
    </row>
    <row r="15739" spans="9:9" x14ac:dyDescent="0.4">
      <c r="I15739" s="1"/>
    </row>
    <row r="15746" spans="9:9" x14ac:dyDescent="0.4">
      <c r="I15746" s="1"/>
    </row>
    <row r="15750" spans="9:9" x14ac:dyDescent="0.4">
      <c r="I15750" s="1"/>
    </row>
    <row r="15755" spans="9:9" x14ac:dyDescent="0.4">
      <c r="I15755" s="1"/>
    </row>
    <row r="15765" spans="9:9" x14ac:dyDescent="0.4">
      <c r="I15765" s="1"/>
    </row>
    <row r="15766" spans="9:9" x14ac:dyDescent="0.4">
      <c r="I15766" s="1"/>
    </row>
    <row r="15773" spans="9:9" x14ac:dyDescent="0.4">
      <c r="I15773" s="1"/>
    </row>
    <row r="15779" spans="9:9" x14ac:dyDescent="0.4">
      <c r="I15779" s="1"/>
    </row>
    <row r="15781" spans="9:9" x14ac:dyDescent="0.4">
      <c r="I15781" s="1"/>
    </row>
    <row r="15787" spans="9:9" x14ac:dyDescent="0.4">
      <c r="I15787" s="1"/>
    </row>
    <row r="15791" spans="9:9" x14ac:dyDescent="0.4">
      <c r="I15791" s="1"/>
    </row>
    <row r="15794" spans="9:9" x14ac:dyDescent="0.4">
      <c r="I15794" s="1"/>
    </row>
    <row r="15807" spans="9:9" x14ac:dyDescent="0.4">
      <c r="I15807" s="1"/>
    </row>
    <row r="15810" spans="9:9" x14ac:dyDescent="0.4">
      <c r="I15810" s="1"/>
    </row>
    <row r="15817" spans="9:9" x14ac:dyDescent="0.4">
      <c r="I15817" s="1"/>
    </row>
    <row r="15823" spans="9:9" x14ac:dyDescent="0.4">
      <c r="I15823" s="1"/>
    </row>
    <row r="15824" spans="9:9" x14ac:dyDescent="0.4">
      <c r="I15824" s="1"/>
    </row>
    <row r="15828" spans="9:9" x14ac:dyDescent="0.4">
      <c r="I15828" s="1"/>
    </row>
    <row r="15830" spans="9:9" x14ac:dyDescent="0.4">
      <c r="I15830" s="1"/>
    </row>
    <row r="15835" spans="9:9" x14ac:dyDescent="0.4">
      <c r="I15835" s="1"/>
    </row>
    <row r="15838" spans="9:9" x14ac:dyDescent="0.4">
      <c r="I15838" s="1"/>
    </row>
    <row r="15840" spans="9:9" x14ac:dyDescent="0.4">
      <c r="I15840" s="1"/>
    </row>
    <row r="15841" spans="9:9" x14ac:dyDescent="0.4">
      <c r="I15841" s="1"/>
    </row>
    <row r="15844" spans="9:9" x14ac:dyDescent="0.4">
      <c r="I15844" s="1"/>
    </row>
    <row r="15848" spans="9:9" x14ac:dyDescent="0.4">
      <c r="I15848" s="1"/>
    </row>
    <row r="15856" spans="9:9" x14ac:dyDescent="0.4">
      <c r="I15856" s="1"/>
    </row>
    <row r="15865" spans="9:9" x14ac:dyDescent="0.4">
      <c r="I15865" s="1"/>
    </row>
    <row r="15871" spans="9:9" x14ac:dyDescent="0.4">
      <c r="I15871" s="1"/>
    </row>
    <row r="15877" spans="9:9" x14ac:dyDescent="0.4">
      <c r="I15877" s="1"/>
    </row>
    <row r="15882" spans="9:9" x14ac:dyDescent="0.4">
      <c r="I15882" s="1"/>
    </row>
    <row r="15884" spans="9:9" x14ac:dyDescent="0.4">
      <c r="I15884" s="1"/>
    </row>
    <row r="15885" spans="9:9" x14ac:dyDescent="0.4">
      <c r="I15885" s="1"/>
    </row>
    <row r="15888" spans="9:9" x14ac:dyDescent="0.4">
      <c r="I15888" s="1"/>
    </row>
    <row r="15893" spans="9:9" x14ac:dyDescent="0.4">
      <c r="I15893" s="1"/>
    </row>
    <row r="15905" spans="9:9" x14ac:dyDescent="0.4">
      <c r="I15905" s="1"/>
    </row>
    <row r="15914" spans="9:9" x14ac:dyDescent="0.4">
      <c r="I15914" s="1"/>
    </row>
    <row r="15917" spans="9:9" x14ac:dyDescent="0.4">
      <c r="I15917" s="1"/>
    </row>
    <row r="15923" spans="9:9" x14ac:dyDescent="0.4">
      <c r="I15923" s="1"/>
    </row>
    <row r="15925" spans="9:9" x14ac:dyDescent="0.4">
      <c r="I15925" s="1"/>
    </row>
    <row r="15926" spans="9:9" x14ac:dyDescent="0.4">
      <c r="I15926" s="1"/>
    </row>
    <row r="15929" spans="9:9" x14ac:dyDescent="0.4">
      <c r="I15929" s="1"/>
    </row>
    <row r="15930" spans="9:9" x14ac:dyDescent="0.4">
      <c r="I15930" s="1"/>
    </row>
    <row r="15931" spans="9:9" x14ac:dyDescent="0.4">
      <c r="I15931" s="1"/>
    </row>
    <row r="15939" spans="9:9" x14ac:dyDescent="0.4">
      <c r="I15939" s="1"/>
    </row>
    <row r="15940" spans="9:9" x14ac:dyDescent="0.4">
      <c r="I15940" s="1"/>
    </row>
    <row r="15956" spans="9:9" x14ac:dyDescent="0.4">
      <c r="I15956" s="1"/>
    </row>
    <row r="15960" spans="9:9" x14ac:dyDescent="0.4">
      <c r="I15960" s="1"/>
    </row>
    <row r="15966" spans="9:9" x14ac:dyDescent="0.4">
      <c r="I15966" s="1"/>
    </row>
    <row r="15973" spans="9:9" x14ac:dyDescent="0.4">
      <c r="I15973" s="1"/>
    </row>
    <row r="15981" spans="9:9" x14ac:dyDescent="0.4">
      <c r="I15981" s="1"/>
    </row>
    <row r="15984" spans="9:9" x14ac:dyDescent="0.4">
      <c r="I15984" s="1"/>
    </row>
    <row r="15991" spans="9:9" x14ac:dyDescent="0.4">
      <c r="I15991" s="1"/>
    </row>
    <row r="15996" spans="9:9" x14ac:dyDescent="0.4">
      <c r="I15996" s="1"/>
    </row>
    <row r="16005" spans="6:9" x14ac:dyDescent="0.4">
      <c r="I16005" s="1"/>
    </row>
    <row r="16008" spans="6:9" x14ac:dyDescent="0.4">
      <c r="F16008" s="1"/>
    </row>
    <row r="16011" spans="6:9" x14ac:dyDescent="0.4">
      <c r="I16011" s="1"/>
    </row>
    <row r="16016" spans="6:9" x14ac:dyDescent="0.4">
      <c r="I16016" s="1"/>
    </row>
    <row r="16020" spans="9:9" x14ac:dyDescent="0.4">
      <c r="I16020" s="1"/>
    </row>
    <row r="16021" spans="9:9" x14ac:dyDescent="0.4">
      <c r="I16021" s="1"/>
    </row>
    <row r="16026" spans="9:9" x14ac:dyDescent="0.4">
      <c r="I16026" s="1"/>
    </row>
    <row r="16032" spans="9:9" x14ac:dyDescent="0.4">
      <c r="I16032" s="1"/>
    </row>
    <row r="16042" spans="9:9" x14ac:dyDescent="0.4">
      <c r="I16042" s="1"/>
    </row>
    <row r="16052" spans="6:6" x14ac:dyDescent="0.4">
      <c r="F16052" s="1"/>
    </row>
    <row r="16065" spans="9:9" x14ac:dyDescent="0.4">
      <c r="I16065" s="1"/>
    </row>
    <row r="16071" spans="9:9" x14ac:dyDescent="0.4">
      <c r="I16071" s="1"/>
    </row>
    <row r="16080" spans="9:9" x14ac:dyDescent="0.4">
      <c r="I16080" s="1"/>
    </row>
    <row r="16081" spans="9:9" x14ac:dyDescent="0.4">
      <c r="I16081" s="1"/>
    </row>
    <row r="16082" spans="9:9" x14ac:dyDescent="0.4">
      <c r="I16082" s="1"/>
    </row>
    <row r="16086" spans="9:9" x14ac:dyDescent="0.4">
      <c r="I16086" s="1"/>
    </row>
    <row r="16092" spans="9:9" x14ac:dyDescent="0.4">
      <c r="I16092" s="1"/>
    </row>
    <row r="16097" spans="6:9" x14ac:dyDescent="0.4">
      <c r="I16097" s="1"/>
    </row>
    <row r="16100" spans="6:9" x14ac:dyDescent="0.4">
      <c r="I16100" s="1"/>
    </row>
    <row r="16102" spans="6:9" x14ac:dyDescent="0.4">
      <c r="I16102" s="1"/>
    </row>
    <row r="16107" spans="6:9" x14ac:dyDescent="0.4">
      <c r="F16107" s="1"/>
    </row>
    <row r="16108" spans="6:9" x14ac:dyDescent="0.4">
      <c r="I16108" s="1"/>
    </row>
    <row r="16109" spans="6:9" x14ac:dyDescent="0.4">
      <c r="I16109" s="1"/>
    </row>
    <row r="16114" spans="9:9" x14ac:dyDescent="0.4">
      <c r="I16114" s="1"/>
    </row>
    <row r="16116" spans="9:9" x14ac:dyDescent="0.4">
      <c r="I16116" s="1"/>
    </row>
    <row r="16122" spans="9:9" x14ac:dyDescent="0.4">
      <c r="I16122" s="1"/>
    </row>
    <row r="16124" spans="9:9" x14ac:dyDescent="0.4">
      <c r="I16124" s="1"/>
    </row>
    <row r="16130" spans="9:9" x14ac:dyDescent="0.4">
      <c r="I16130" s="1"/>
    </row>
    <row r="16137" spans="9:9" x14ac:dyDescent="0.4">
      <c r="I16137" s="1"/>
    </row>
    <row r="16155" spans="9:9" x14ac:dyDescent="0.4">
      <c r="I16155" s="1"/>
    </row>
    <row r="16158" spans="9:9" x14ac:dyDescent="0.4">
      <c r="I16158" s="1"/>
    </row>
    <row r="16166" spans="9:9" x14ac:dyDescent="0.4">
      <c r="I16166" s="1"/>
    </row>
    <row r="16167" spans="9:9" x14ac:dyDescent="0.4">
      <c r="I16167" s="1"/>
    </row>
    <row r="16170" spans="9:9" x14ac:dyDescent="0.4">
      <c r="I16170" s="1"/>
    </row>
    <row r="16177" spans="9:9" x14ac:dyDescent="0.4">
      <c r="I16177" s="1"/>
    </row>
    <row r="16179" spans="9:9" x14ac:dyDescent="0.4">
      <c r="I16179" s="1"/>
    </row>
    <row r="16191" spans="9:9" x14ac:dyDescent="0.4">
      <c r="I16191" s="1"/>
    </row>
    <row r="16195" spans="9:9" x14ac:dyDescent="0.4">
      <c r="I16195" s="1"/>
    </row>
    <row r="16204" spans="9:9" x14ac:dyDescent="0.4">
      <c r="I16204" s="1"/>
    </row>
    <row r="16209" spans="9:9" x14ac:dyDescent="0.4">
      <c r="I16209" s="1"/>
    </row>
    <row r="16226" spans="9:9" x14ac:dyDescent="0.4">
      <c r="I16226" s="1"/>
    </row>
    <row r="16228" spans="9:9" x14ac:dyDescent="0.4">
      <c r="I16228" s="1"/>
    </row>
    <row r="16235" spans="9:9" x14ac:dyDescent="0.4">
      <c r="I16235" s="1"/>
    </row>
    <row r="16238" spans="9:9" x14ac:dyDescent="0.4">
      <c r="I16238" s="1"/>
    </row>
    <row r="16245" spans="9:9" x14ac:dyDescent="0.4">
      <c r="I16245" s="1"/>
    </row>
    <row r="16249" spans="9:9" x14ac:dyDescent="0.4">
      <c r="I16249" s="1"/>
    </row>
    <row r="16252" spans="9:9" x14ac:dyDescent="0.4">
      <c r="I16252" s="1"/>
    </row>
    <row r="16254" spans="9:9" x14ac:dyDescent="0.4">
      <c r="I16254" s="1"/>
    </row>
    <row r="16255" spans="9:9" x14ac:dyDescent="0.4">
      <c r="I16255" s="1"/>
    </row>
    <row r="16258" spans="9:9" x14ac:dyDescent="0.4">
      <c r="I16258" s="1"/>
    </row>
    <row r="16260" spans="9:9" x14ac:dyDescent="0.4">
      <c r="I16260" s="1"/>
    </row>
    <row r="16262" spans="9:9" x14ac:dyDescent="0.4">
      <c r="I16262" s="1"/>
    </row>
    <row r="16266" spans="9:9" x14ac:dyDescent="0.4">
      <c r="I16266" s="1"/>
    </row>
    <row r="16269" spans="9:9" x14ac:dyDescent="0.4">
      <c r="I16269" s="1"/>
    </row>
    <row r="16275" spans="9:9" x14ac:dyDescent="0.4">
      <c r="I16275" s="1"/>
    </row>
    <row r="16277" spans="9:9" x14ac:dyDescent="0.4">
      <c r="I16277" s="1"/>
    </row>
    <row r="16283" spans="9:9" x14ac:dyDescent="0.4">
      <c r="I16283" s="1"/>
    </row>
    <row r="16285" spans="9:9" x14ac:dyDescent="0.4">
      <c r="I16285" s="1"/>
    </row>
    <row r="16286" spans="9:9" x14ac:dyDescent="0.4">
      <c r="I16286" s="1"/>
    </row>
    <row r="16292" spans="9:9" x14ac:dyDescent="0.4">
      <c r="I16292" s="1"/>
    </row>
    <row r="16297" spans="9:9" x14ac:dyDescent="0.4">
      <c r="I16297" s="1"/>
    </row>
    <row r="16298" spans="9:9" x14ac:dyDescent="0.4">
      <c r="I16298" s="1"/>
    </row>
    <row r="16300" spans="9:9" x14ac:dyDescent="0.4">
      <c r="I16300" s="1"/>
    </row>
    <row r="16302" spans="9:9" x14ac:dyDescent="0.4">
      <c r="I16302" s="1"/>
    </row>
    <row r="16309" spans="9:9" x14ac:dyDescent="0.4">
      <c r="I16309" s="1"/>
    </row>
    <row r="16320" spans="9:9" x14ac:dyDescent="0.4">
      <c r="I16320" s="1"/>
    </row>
    <row r="16321" spans="9:9" x14ac:dyDescent="0.4">
      <c r="I16321" s="1"/>
    </row>
    <row r="16323" spans="9:9" x14ac:dyDescent="0.4">
      <c r="I16323" s="1"/>
    </row>
    <row r="16330" spans="9:9" x14ac:dyDescent="0.4">
      <c r="I16330" s="1"/>
    </row>
    <row r="16345" spans="9:9" x14ac:dyDescent="0.4">
      <c r="I16345" s="1"/>
    </row>
    <row r="16357" spans="9:9" x14ac:dyDescent="0.4">
      <c r="I16357" s="1"/>
    </row>
    <row r="16362" spans="9:9" x14ac:dyDescent="0.4">
      <c r="I16362" s="1"/>
    </row>
    <row r="16370" spans="9:9" x14ac:dyDescent="0.4">
      <c r="I16370" s="1"/>
    </row>
    <row r="16381" spans="9:9" x14ac:dyDescent="0.4">
      <c r="I16381" s="1"/>
    </row>
    <row r="16382" spans="9:9" x14ac:dyDescent="0.4">
      <c r="I16382" s="1"/>
    </row>
    <row r="16384" spans="9:9" x14ac:dyDescent="0.4">
      <c r="I16384" s="1"/>
    </row>
    <row r="16385" spans="9:9" x14ac:dyDescent="0.4">
      <c r="I16385" s="1"/>
    </row>
    <row r="16386" spans="9:9" x14ac:dyDescent="0.4">
      <c r="I16386" s="1"/>
    </row>
    <row r="16400" spans="9:9" x14ac:dyDescent="0.4">
      <c r="I16400" s="1"/>
    </row>
    <row r="16403" spans="9:9" x14ac:dyDescent="0.4">
      <c r="I16403" s="1"/>
    </row>
    <row r="16405" spans="9:9" x14ac:dyDescent="0.4">
      <c r="I16405" s="1"/>
    </row>
    <row r="16406" spans="9:9" x14ac:dyDescent="0.4">
      <c r="I16406" s="1"/>
    </row>
    <row r="16407" spans="9:9" x14ac:dyDescent="0.4">
      <c r="I16407" s="1"/>
    </row>
    <row r="16410" spans="9:9" x14ac:dyDescent="0.4">
      <c r="I16410" s="1"/>
    </row>
    <row r="16413" spans="9:9" x14ac:dyDescent="0.4">
      <c r="I16413" s="1"/>
    </row>
    <row r="16414" spans="9:9" x14ac:dyDescent="0.4">
      <c r="I16414" s="1"/>
    </row>
    <row r="16420" spans="9:9" x14ac:dyDescent="0.4">
      <c r="I16420" s="1"/>
    </row>
    <row r="16426" spans="9:9" x14ac:dyDescent="0.4">
      <c r="I16426" s="1"/>
    </row>
    <row r="16429" spans="9:9" x14ac:dyDescent="0.4">
      <c r="I16429" s="1"/>
    </row>
    <row r="16430" spans="9:9" x14ac:dyDescent="0.4">
      <c r="I16430" s="1"/>
    </row>
    <row r="16432" spans="9:9" x14ac:dyDescent="0.4">
      <c r="I16432" s="1"/>
    </row>
    <row r="16435" spans="9:9" x14ac:dyDescent="0.4">
      <c r="I16435" s="1"/>
    </row>
    <row r="16436" spans="9:9" x14ac:dyDescent="0.4">
      <c r="I16436" s="1"/>
    </row>
    <row r="16437" spans="9:9" x14ac:dyDescent="0.4">
      <c r="I16437" s="1"/>
    </row>
    <row r="16445" spans="9:9" x14ac:dyDescent="0.4">
      <c r="I16445" s="1"/>
    </row>
    <row r="16449" spans="9:9" x14ac:dyDescent="0.4">
      <c r="I16449" s="1"/>
    </row>
    <row r="16450" spans="9:9" x14ac:dyDescent="0.4">
      <c r="I16450" s="1"/>
    </row>
    <row r="16453" spans="9:9" x14ac:dyDescent="0.4">
      <c r="I16453" s="1"/>
    </row>
    <row r="16456" spans="9:9" x14ac:dyDescent="0.4">
      <c r="I16456" s="1"/>
    </row>
    <row r="16458" spans="9:9" x14ac:dyDescent="0.4">
      <c r="I16458" s="1"/>
    </row>
    <row r="16460" spans="9:9" x14ac:dyDescent="0.4">
      <c r="I16460" s="1"/>
    </row>
    <row r="16465" spans="9:9" x14ac:dyDescent="0.4">
      <c r="I16465" s="1"/>
    </row>
    <row r="16467" spans="9:9" x14ac:dyDescent="0.4">
      <c r="I16467" s="1"/>
    </row>
    <row r="16469" spans="9:9" x14ac:dyDescent="0.4">
      <c r="I16469" s="1"/>
    </row>
    <row r="16470" spans="9:9" x14ac:dyDescent="0.4">
      <c r="I16470" s="1"/>
    </row>
    <row r="16477" spans="9:9" x14ac:dyDescent="0.4">
      <c r="I16477" s="1"/>
    </row>
    <row r="16482" spans="9:9" x14ac:dyDescent="0.4">
      <c r="I16482" s="1"/>
    </row>
    <row r="16483" spans="9:9" x14ac:dyDescent="0.4">
      <c r="I16483" s="1"/>
    </row>
    <row r="16495" spans="9:9" x14ac:dyDescent="0.4">
      <c r="I16495" s="1"/>
    </row>
    <row r="16503" spans="9:9" x14ac:dyDescent="0.4">
      <c r="I16503" s="1"/>
    </row>
    <row r="16504" spans="9:9" x14ac:dyDescent="0.4">
      <c r="I16504" s="1"/>
    </row>
    <row r="16509" spans="9:9" x14ac:dyDescent="0.4">
      <c r="I16509" s="1"/>
    </row>
    <row r="16510" spans="9:9" x14ac:dyDescent="0.4">
      <c r="I16510" s="1"/>
    </row>
    <row r="16511" spans="9:9" x14ac:dyDescent="0.4">
      <c r="I16511" s="1"/>
    </row>
    <row r="16516" spans="9:9" x14ac:dyDescent="0.4">
      <c r="I16516" s="1"/>
    </row>
    <row r="16518" spans="9:9" x14ac:dyDescent="0.4">
      <c r="I16518" s="1"/>
    </row>
    <row r="16522" spans="9:9" x14ac:dyDescent="0.4">
      <c r="I16522" s="1"/>
    </row>
    <row r="16525" spans="9:9" x14ac:dyDescent="0.4">
      <c r="I16525" s="1"/>
    </row>
    <row r="16528" spans="9:9" x14ac:dyDescent="0.4">
      <c r="I16528" s="1"/>
    </row>
    <row r="16535" spans="6:9" x14ac:dyDescent="0.4">
      <c r="F16535" s="1"/>
    </row>
    <row r="16536" spans="6:9" x14ac:dyDescent="0.4">
      <c r="I16536" s="1"/>
    </row>
    <row r="16547" spans="9:9" x14ac:dyDescent="0.4">
      <c r="I16547" s="1"/>
    </row>
    <row r="16569" spans="9:9" x14ac:dyDescent="0.4">
      <c r="I16569" s="1"/>
    </row>
    <row r="16578" spans="6:6" x14ac:dyDescent="0.4">
      <c r="F16578" s="1"/>
    </row>
    <row r="16581" spans="6:6" x14ac:dyDescent="0.4">
      <c r="F16581" s="1"/>
    </row>
    <row r="16598" spans="9:9" x14ac:dyDescent="0.4">
      <c r="I16598" s="1"/>
    </row>
    <row r="16619" spans="9:9" x14ac:dyDescent="0.4">
      <c r="I16619" s="1"/>
    </row>
    <row r="16621" spans="9:9" x14ac:dyDescent="0.4">
      <c r="I16621" s="1"/>
    </row>
    <row r="16624" spans="9:9" x14ac:dyDescent="0.4">
      <c r="I16624" s="1"/>
    </row>
    <row r="16625" spans="9:9" x14ac:dyDescent="0.4">
      <c r="I16625" s="1"/>
    </row>
    <row r="16627" spans="9:9" x14ac:dyDescent="0.4">
      <c r="I16627" s="1"/>
    </row>
    <row r="16634" spans="9:9" x14ac:dyDescent="0.4">
      <c r="I16634" s="1"/>
    </row>
    <row r="16642" spans="9:9" x14ac:dyDescent="0.4">
      <c r="I16642" s="1"/>
    </row>
    <row r="16644" spans="9:9" x14ac:dyDescent="0.4">
      <c r="I16644" s="1"/>
    </row>
    <row r="16660" spans="9:9" x14ac:dyDescent="0.4">
      <c r="I16660" s="1"/>
    </row>
    <row r="16665" spans="9:9" x14ac:dyDescent="0.4">
      <c r="I16665" s="1"/>
    </row>
    <row r="16667" spans="9:9" x14ac:dyDescent="0.4">
      <c r="I16667" s="1"/>
    </row>
    <row r="16668" spans="9:9" x14ac:dyDescent="0.4">
      <c r="I16668" s="1"/>
    </row>
    <row r="16671" spans="9:9" x14ac:dyDescent="0.4">
      <c r="I16671" s="1"/>
    </row>
    <row r="16679" spans="9:9" x14ac:dyDescent="0.4">
      <c r="I16679" s="1"/>
    </row>
    <row r="16681" spans="9:9" x14ac:dyDescent="0.4">
      <c r="I16681" s="1"/>
    </row>
    <row r="16684" spans="9:9" x14ac:dyDescent="0.4">
      <c r="I16684" s="1"/>
    </row>
    <row r="16686" spans="9:9" x14ac:dyDescent="0.4">
      <c r="I16686" s="1"/>
    </row>
    <row r="16696" spans="9:9" x14ac:dyDescent="0.4">
      <c r="I16696" s="1"/>
    </row>
    <row r="16697" spans="9:9" x14ac:dyDescent="0.4">
      <c r="I16697" s="1"/>
    </row>
    <row r="16699" spans="9:9" x14ac:dyDescent="0.4">
      <c r="I16699" s="1"/>
    </row>
    <row r="16700" spans="9:9" x14ac:dyDescent="0.4">
      <c r="I16700" s="1"/>
    </row>
    <row r="16705" spans="6:9" x14ac:dyDescent="0.4">
      <c r="I16705" s="1"/>
    </row>
    <row r="16712" spans="6:9" x14ac:dyDescent="0.4">
      <c r="I16712" s="1"/>
    </row>
    <row r="16715" spans="6:9" x14ac:dyDescent="0.4">
      <c r="F16715" s="1"/>
      <c r="I16715" s="1"/>
    </row>
    <row r="16716" spans="6:9" x14ac:dyDescent="0.4">
      <c r="I16716" s="1"/>
    </row>
    <row r="16719" spans="6:9" x14ac:dyDescent="0.4">
      <c r="I16719" s="1"/>
    </row>
    <row r="16720" spans="6:9" x14ac:dyDescent="0.4">
      <c r="I16720" s="1"/>
    </row>
    <row r="16721" spans="9:9" x14ac:dyDescent="0.4">
      <c r="I16721" s="1"/>
    </row>
    <row r="16730" spans="9:9" x14ac:dyDescent="0.4">
      <c r="I16730" s="1"/>
    </row>
    <row r="16732" spans="9:9" x14ac:dyDescent="0.4">
      <c r="I16732" s="1"/>
    </row>
    <row r="16739" spans="9:9" x14ac:dyDescent="0.4">
      <c r="I16739" s="1"/>
    </row>
    <row r="16744" spans="9:9" x14ac:dyDescent="0.4">
      <c r="I16744" s="1"/>
    </row>
    <row r="16745" spans="9:9" x14ac:dyDescent="0.4">
      <c r="I16745" s="1"/>
    </row>
    <row r="16747" spans="9:9" x14ac:dyDescent="0.4">
      <c r="I16747" s="1"/>
    </row>
    <row r="16748" spans="9:9" x14ac:dyDescent="0.4">
      <c r="I16748" s="1"/>
    </row>
    <row r="16750" spans="9:9" x14ac:dyDescent="0.4">
      <c r="I16750" s="1"/>
    </row>
    <row r="16758" spans="9:9" x14ac:dyDescent="0.4">
      <c r="I16758" s="1"/>
    </row>
    <row r="16762" spans="9:9" x14ac:dyDescent="0.4">
      <c r="I16762" s="1"/>
    </row>
    <row r="16763" spans="9:9" x14ac:dyDescent="0.4">
      <c r="I16763" s="1"/>
    </row>
    <row r="16769" spans="9:9" x14ac:dyDescent="0.4">
      <c r="I16769" s="1"/>
    </row>
    <row r="16777" spans="9:9" x14ac:dyDescent="0.4">
      <c r="I16777" s="1"/>
    </row>
    <row r="16784" spans="9:9" x14ac:dyDescent="0.4">
      <c r="I16784" s="1"/>
    </row>
    <row r="16785" spans="9:9" x14ac:dyDescent="0.4">
      <c r="I16785" s="1"/>
    </row>
    <row r="16788" spans="9:9" x14ac:dyDescent="0.4">
      <c r="I16788" s="1"/>
    </row>
    <row r="16791" spans="9:9" x14ac:dyDescent="0.4">
      <c r="I16791" s="1"/>
    </row>
    <row r="16798" spans="9:9" x14ac:dyDescent="0.4">
      <c r="I16798" s="1"/>
    </row>
    <row r="16805" spans="9:9" x14ac:dyDescent="0.4">
      <c r="I16805" s="1"/>
    </row>
    <row r="16808" spans="9:9" x14ac:dyDescent="0.4">
      <c r="I16808" s="1"/>
    </row>
    <row r="16809" spans="9:9" x14ac:dyDescent="0.4">
      <c r="I16809" s="1"/>
    </row>
    <row r="16818" spans="9:9" x14ac:dyDescent="0.4">
      <c r="I16818" s="1"/>
    </row>
    <row r="16821" spans="9:9" x14ac:dyDescent="0.4">
      <c r="I16821" s="1"/>
    </row>
    <row r="16838" spans="9:9" x14ac:dyDescent="0.4">
      <c r="I16838" s="1"/>
    </row>
    <row r="16844" spans="9:9" x14ac:dyDescent="0.4">
      <c r="I16844" s="1"/>
    </row>
    <row r="16865" spans="9:9" x14ac:dyDescent="0.4">
      <c r="I16865" s="1"/>
    </row>
    <row r="16877" spans="9:9" x14ac:dyDescent="0.4">
      <c r="I16877" s="1"/>
    </row>
    <row r="16878" spans="9:9" x14ac:dyDescent="0.4">
      <c r="I16878" s="1"/>
    </row>
    <row r="16885" spans="9:9" x14ac:dyDescent="0.4">
      <c r="I16885" s="1"/>
    </row>
    <row r="16886" spans="9:9" x14ac:dyDescent="0.4">
      <c r="I16886" s="1"/>
    </row>
    <row r="16888" spans="9:9" x14ac:dyDescent="0.4">
      <c r="I16888" s="1"/>
    </row>
    <row r="16890" spans="9:9" x14ac:dyDescent="0.4">
      <c r="I16890" s="1"/>
    </row>
    <row r="16891" spans="9:9" x14ac:dyDescent="0.4">
      <c r="I16891" s="1"/>
    </row>
    <row r="16903" spans="9:9" x14ac:dyDescent="0.4">
      <c r="I16903" s="1"/>
    </row>
    <row r="16907" spans="9:9" x14ac:dyDescent="0.4">
      <c r="I16907" s="1"/>
    </row>
    <row r="16908" spans="9:9" x14ac:dyDescent="0.4">
      <c r="I16908" s="1"/>
    </row>
    <row r="16912" spans="9:9" x14ac:dyDescent="0.4">
      <c r="I16912" s="1"/>
    </row>
    <row r="16917" spans="9:9" x14ac:dyDescent="0.4">
      <c r="I16917" s="1"/>
    </row>
    <row r="16923" spans="9:9" x14ac:dyDescent="0.4">
      <c r="I16923" s="1"/>
    </row>
    <row r="16932" spans="9:9" x14ac:dyDescent="0.4">
      <c r="I16932" s="1"/>
    </row>
    <row r="16933" spans="9:9" x14ac:dyDescent="0.4">
      <c r="I16933" s="1"/>
    </row>
    <row r="16936" spans="9:9" x14ac:dyDescent="0.4">
      <c r="I16936" s="1"/>
    </row>
    <row r="16938" spans="9:9" x14ac:dyDescent="0.4">
      <c r="I16938" s="1"/>
    </row>
    <row r="16941" spans="9:9" x14ac:dyDescent="0.4">
      <c r="I16941" s="1"/>
    </row>
    <row r="16947" spans="9:9" x14ac:dyDescent="0.4">
      <c r="I16947" s="1"/>
    </row>
    <row r="16955" spans="9:9" x14ac:dyDescent="0.4">
      <c r="I16955" s="1"/>
    </row>
    <row r="16962" spans="9:9" x14ac:dyDescent="0.4">
      <c r="I16962" s="1"/>
    </row>
    <row r="16964" spans="9:9" x14ac:dyDescent="0.4">
      <c r="I16964" s="1"/>
    </row>
    <row r="16968" spans="9:9" x14ac:dyDescent="0.4">
      <c r="I16968" s="1"/>
    </row>
    <row r="16972" spans="9:9" x14ac:dyDescent="0.4">
      <c r="I16972" s="1"/>
    </row>
    <row r="16973" spans="9:9" x14ac:dyDescent="0.4">
      <c r="I16973" s="1"/>
    </row>
    <row r="16975" spans="9:9" x14ac:dyDescent="0.4">
      <c r="I16975" s="1"/>
    </row>
    <row r="16976" spans="9:9" x14ac:dyDescent="0.4">
      <c r="I16976" s="1"/>
    </row>
    <row r="16986" spans="9:9" x14ac:dyDescent="0.4">
      <c r="I16986" s="1"/>
    </row>
    <row r="16987" spans="9:9" x14ac:dyDescent="0.4">
      <c r="I16987" s="1"/>
    </row>
    <row r="16991" spans="9:9" x14ac:dyDescent="0.4">
      <c r="I16991" s="1"/>
    </row>
    <row r="16993" spans="9:9" x14ac:dyDescent="0.4">
      <c r="I16993" s="1"/>
    </row>
    <row r="16995" spans="9:9" x14ac:dyDescent="0.4">
      <c r="I16995" s="1"/>
    </row>
    <row r="16996" spans="9:9" x14ac:dyDescent="0.4">
      <c r="I16996" s="1"/>
    </row>
    <row r="17001" spans="9:9" x14ac:dyDescent="0.4">
      <c r="I17001" s="1"/>
    </row>
    <row r="17016" spans="9:9" x14ac:dyDescent="0.4">
      <c r="I17016" s="1"/>
    </row>
    <row r="17017" spans="9:9" x14ac:dyDescent="0.4">
      <c r="I17017" s="1"/>
    </row>
    <row r="17019" spans="9:9" x14ac:dyDescent="0.4">
      <c r="I17019" s="1"/>
    </row>
    <row r="17025" spans="9:9" x14ac:dyDescent="0.4">
      <c r="I17025" s="1"/>
    </row>
    <row r="17035" spans="9:9" x14ac:dyDescent="0.4">
      <c r="I17035" s="1"/>
    </row>
    <row r="17037" spans="9:9" x14ac:dyDescent="0.4">
      <c r="I17037" s="1"/>
    </row>
    <row r="17041" spans="9:9" x14ac:dyDescent="0.4">
      <c r="I17041" s="1"/>
    </row>
    <row r="17042" spans="9:9" x14ac:dyDescent="0.4">
      <c r="I17042" s="1"/>
    </row>
    <row r="17047" spans="9:9" x14ac:dyDescent="0.4">
      <c r="I17047" s="1"/>
    </row>
    <row r="17057" spans="9:9" x14ac:dyDescent="0.4">
      <c r="I17057" s="1"/>
    </row>
    <row r="17065" spans="9:9" x14ac:dyDescent="0.4">
      <c r="I17065" s="1"/>
    </row>
    <row r="17068" spans="9:9" x14ac:dyDescent="0.4">
      <c r="I17068" s="1"/>
    </row>
    <row r="17070" spans="9:9" x14ac:dyDescent="0.4">
      <c r="I17070" s="1"/>
    </row>
    <row r="17075" spans="9:9" x14ac:dyDescent="0.4">
      <c r="I17075" s="1"/>
    </row>
    <row r="17076" spans="9:9" x14ac:dyDescent="0.4">
      <c r="I17076" s="1"/>
    </row>
    <row r="17078" spans="9:9" x14ac:dyDescent="0.4">
      <c r="I17078" s="1"/>
    </row>
    <row r="17081" spans="9:9" x14ac:dyDescent="0.4">
      <c r="I17081" s="1"/>
    </row>
    <row r="17083" spans="9:9" x14ac:dyDescent="0.4">
      <c r="I17083" s="1"/>
    </row>
    <row r="17085" spans="9:9" x14ac:dyDescent="0.4">
      <c r="I17085" s="1"/>
    </row>
    <row r="17088" spans="9:9" x14ac:dyDescent="0.4">
      <c r="I17088" s="1"/>
    </row>
    <row r="17090" spans="6:9" x14ac:dyDescent="0.4">
      <c r="F17090" s="1"/>
    </row>
    <row r="17094" spans="6:9" x14ac:dyDescent="0.4">
      <c r="F17094" s="1"/>
    </row>
    <row r="17095" spans="6:9" x14ac:dyDescent="0.4">
      <c r="I17095" s="1"/>
    </row>
    <row r="17100" spans="6:9" x14ac:dyDescent="0.4">
      <c r="I17100" s="1"/>
    </row>
    <row r="17101" spans="6:9" x14ac:dyDescent="0.4">
      <c r="F17101" s="1"/>
    </row>
    <row r="17102" spans="6:9" x14ac:dyDescent="0.4">
      <c r="F17102" s="1"/>
    </row>
    <row r="17104" spans="6:9" x14ac:dyDescent="0.4">
      <c r="F17104" s="1"/>
    </row>
    <row r="17109" spans="6:9" x14ac:dyDescent="0.4">
      <c r="I17109" s="1"/>
    </row>
    <row r="17112" spans="6:9" x14ac:dyDescent="0.4">
      <c r="I17112" s="1"/>
    </row>
    <row r="17113" spans="6:9" x14ac:dyDescent="0.4">
      <c r="F17113" s="1"/>
      <c r="I17113" s="1"/>
    </row>
    <row r="17115" spans="6:9" x14ac:dyDescent="0.4">
      <c r="F17115" s="1"/>
    </row>
    <row r="17116" spans="6:9" x14ac:dyDescent="0.4">
      <c r="I17116" s="1"/>
    </row>
    <row r="17117" spans="6:9" x14ac:dyDescent="0.4">
      <c r="F17117" s="1"/>
    </row>
    <row r="17119" spans="6:9" x14ac:dyDescent="0.4">
      <c r="I17119" s="1"/>
    </row>
    <row r="17120" spans="6:9" x14ac:dyDescent="0.4">
      <c r="F17120" s="1"/>
      <c r="I17120" s="1"/>
    </row>
    <row r="17121" spans="6:9" x14ac:dyDescent="0.4">
      <c r="F17121" s="1"/>
    </row>
    <row r="17122" spans="6:9" x14ac:dyDescent="0.4">
      <c r="I17122" s="1"/>
    </row>
    <row r="17123" spans="6:9" x14ac:dyDescent="0.4">
      <c r="I17123" s="1"/>
    </row>
    <row r="17126" spans="6:9" x14ac:dyDescent="0.4">
      <c r="F17126" s="1"/>
    </row>
    <row r="17127" spans="6:9" x14ac:dyDescent="0.4">
      <c r="F17127" s="1"/>
    </row>
    <row r="17128" spans="6:9" x14ac:dyDescent="0.4">
      <c r="I17128" s="1"/>
    </row>
    <row r="17131" spans="6:9" x14ac:dyDescent="0.4">
      <c r="I17131" s="1"/>
    </row>
    <row r="17133" spans="6:9" x14ac:dyDescent="0.4">
      <c r="F17133" s="1"/>
    </row>
    <row r="17136" spans="6:9" x14ac:dyDescent="0.4">
      <c r="F17136" s="1"/>
    </row>
    <row r="17139" spans="6:9" x14ac:dyDescent="0.4">
      <c r="I17139" s="1"/>
    </row>
    <row r="17143" spans="6:9" x14ac:dyDescent="0.4">
      <c r="F17143" s="1"/>
    </row>
    <row r="17144" spans="6:9" x14ac:dyDescent="0.4">
      <c r="F17144" s="1"/>
    </row>
    <row r="17145" spans="6:9" x14ac:dyDescent="0.4">
      <c r="I17145" s="1"/>
    </row>
    <row r="17148" spans="6:9" x14ac:dyDescent="0.4">
      <c r="I17148" s="1"/>
    </row>
    <row r="17150" spans="6:9" x14ac:dyDescent="0.4">
      <c r="F17150" s="1"/>
    </row>
    <row r="17153" spans="6:9" x14ac:dyDescent="0.4">
      <c r="F17153" s="1"/>
      <c r="I17153" s="1"/>
    </row>
    <row r="17155" spans="6:9" x14ac:dyDescent="0.4">
      <c r="F17155" s="1"/>
    </row>
    <row r="17156" spans="6:9" x14ac:dyDescent="0.4">
      <c r="F17156" s="1"/>
    </row>
    <row r="17157" spans="6:9" x14ac:dyDescent="0.4">
      <c r="F17157" s="1"/>
    </row>
    <row r="17158" spans="6:9" x14ac:dyDescent="0.4">
      <c r="I17158" s="1"/>
    </row>
    <row r="17159" spans="6:9" x14ac:dyDescent="0.4">
      <c r="F17159" s="1"/>
      <c r="I17159" s="1"/>
    </row>
    <row r="17161" spans="6:9" x14ac:dyDescent="0.4">
      <c r="F17161" s="1"/>
    </row>
    <row r="17163" spans="6:9" x14ac:dyDescent="0.4">
      <c r="I17163" s="1"/>
    </row>
    <row r="17168" spans="6:9" x14ac:dyDescent="0.4">
      <c r="I17168" s="1"/>
    </row>
    <row r="17172" spans="9:9" x14ac:dyDescent="0.4">
      <c r="I17172" s="1"/>
    </row>
    <row r="17176" spans="9:9" x14ac:dyDescent="0.4">
      <c r="I17176" s="1"/>
    </row>
    <row r="17178" spans="9:9" x14ac:dyDescent="0.4">
      <c r="I17178" s="1"/>
    </row>
    <row r="17180" spans="9:9" x14ac:dyDescent="0.4">
      <c r="I17180" s="1"/>
    </row>
    <row r="17186" spans="9:9" x14ac:dyDescent="0.4">
      <c r="I17186" s="1"/>
    </row>
    <row r="17195" spans="9:9" x14ac:dyDescent="0.4">
      <c r="I17195" s="1"/>
    </row>
    <row r="17199" spans="9:9" x14ac:dyDescent="0.4">
      <c r="I17199" s="1"/>
    </row>
    <row r="17201" spans="9:9" x14ac:dyDescent="0.4">
      <c r="I17201" s="1"/>
    </row>
    <row r="17203" spans="9:9" x14ac:dyDescent="0.4">
      <c r="I17203" s="1"/>
    </row>
    <row r="17208" spans="9:9" x14ac:dyDescent="0.4">
      <c r="I17208" s="1"/>
    </row>
    <row r="17210" spans="9:9" x14ac:dyDescent="0.4">
      <c r="I17210" s="1"/>
    </row>
    <row r="17214" spans="9:9" x14ac:dyDescent="0.4">
      <c r="I17214" s="1"/>
    </row>
    <row r="17220" spans="9:9" x14ac:dyDescent="0.4">
      <c r="I17220" s="1"/>
    </row>
    <row r="17226" spans="9:9" x14ac:dyDescent="0.4">
      <c r="I17226" s="1"/>
    </row>
    <row r="17233" spans="9:9" x14ac:dyDescent="0.4">
      <c r="I17233" s="1"/>
    </row>
    <row r="17234" spans="9:9" x14ac:dyDescent="0.4">
      <c r="I17234" s="1"/>
    </row>
    <row r="17235" spans="9:9" x14ac:dyDescent="0.4">
      <c r="I17235" s="1"/>
    </row>
    <row r="17236" spans="9:9" x14ac:dyDescent="0.4">
      <c r="I17236" s="1"/>
    </row>
    <row r="17238" spans="9:9" x14ac:dyDescent="0.4">
      <c r="I17238" s="1"/>
    </row>
    <row r="17242" spans="9:9" x14ac:dyDescent="0.4">
      <c r="I17242" s="1"/>
    </row>
    <row r="17244" spans="9:9" x14ac:dyDescent="0.4">
      <c r="I17244" s="1"/>
    </row>
    <row r="17245" spans="9:9" x14ac:dyDescent="0.4">
      <c r="I17245" s="1"/>
    </row>
    <row r="17248" spans="9:9" x14ac:dyDescent="0.4">
      <c r="I17248" s="1"/>
    </row>
    <row r="17251" spans="9:9" x14ac:dyDescent="0.4">
      <c r="I17251" s="1"/>
    </row>
    <row r="17252" spans="9:9" x14ac:dyDescent="0.4">
      <c r="I17252" s="1"/>
    </row>
    <row r="17254" spans="9:9" x14ac:dyDescent="0.4">
      <c r="I17254" s="1"/>
    </row>
    <row r="17258" spans="9:9" x14ac:dyDescent="0.4">
      <c r="I17258" s="1"/>
    </row>
    <row r="17259" spans="9:9" x14ac:dyDescent="0.4">
      <c r="I17259" s="1"/>
    </row>
    <row r="17260" spans="9:9" x14ac:dyDescent="0.4">
      <c r="I17260" s="1"/>
    </row>
    <row r="17261" spans="9:9" x14ac:dyDescent="0.4">
      <c r="I17261" s="1"/>
    </row>
    <row r="17262" spans="9:9" x14ac:dyDescent="0.4">
      <c r="I17262" s="1"/>
    </row>
    <row r="17268" spans="9:9" x14ac:dyDescent="0.4">
      <c r="I17268" s="1"/>
    </row>
    <row r="17273" spans="9:9" x14ac:dyDescent="0.4">
      <c r="I17273" s="1"/>
    </row>
    <row r="17279" spans="9:9" x14ac:dyDescent="0.4">
      <c r="I17279" s="1"/>
    </row>
    <row r="17280" spans="9:9" x14ac:dyDescent="0.4">
      <c r="I17280" s="1"/>
    </row>
    <row r="17282" spans="9:9" x14ac:dyDescent="0.4">
      <c r="I17282" s="1"/>
    </row>
    <row r="17283" spans="9:9" x14ac:dyDescent="0.4">
      <c r="I17283" s="1"/>
    </row>
    <row r="17284" spans="9:9" x14ac:dyDescent="0.4">
      <c r="I17284" s="1"/>
    </row>
    <row r="17287" spans="9:9" x14ac:dyDescent="0.4">
      <c r="I17287" s="1"/>
    </row>
    <row r="17293" spans="9:9" x14ac:dyDescent="0.4">
      <c r="I17293" s="1"/>
    </row>
    <row r="17296" spans="9:9" x14ac:dyDescent="0.4">
      <c r="I17296" s="1"/>
    </row>
    <row r="17298" spans="9:9" x14ac:dyDescent="0.4">
      <c r="I17298" s="1"/>
    </row>
    <row r="17300" spans="9:9" x14ac:dyDescent="0.4">
      <c r="I17300" s="1"/>
    </row>
    <row r="17303" spans="9:9" x14ac:dyDescent="0.4">
      <c r="I17303" s="1"/>
    </row>
    <row r="17311" spans="9:9" x14ac:dyDescent="0.4">
      <c r="I17311" s="1"/>
    </row>
    <row r="17317" spans="6:9" x14ac:dyDescent="0.4">
      <c r="I17317" s="1"/>
    </row>
    <row r="17318" spans="6:9" x14ac:dyDescent="0.4">
      <c r="I17318" s="1"/>
    </row>
    <row r="17320" spans="6:9" x14ac:dyDescent="0.4">
      <c r="I17320" s="1"/>
    </row>
    <row r="17321" spans="6:9" x14ac:dyDescent="0.4">
      <c r="I17321" s="1"/>
    </row>
    <row r="17324" spans="6:9" x14ac:dyDescent="0.4">
      <c r="F17324" s="1"/>
    </row>
    <row r="17327" spans="6:9" x14ac:dyDescent="0.4">
      <c r="I17327" s="1"/>
    </row>
    <row r="17330" spans="9:9" x14ac:dyDescent="0.4">
      <c r="I17330" s="1"/>
    </row>
    <row r="17334" spans="9:9" x14ac:dyDescent="0.4">
      <c r="I17334" s="1"/>
    </row>
    <row r="17339" spans="9:9" x14ac:dyDescent="0.4">
      <c r="I17339" s="1"/>
    </row>
    <row r="17351" spans="9:9" x14ac:dyDescent="0.4">
      <c r="I17351" s="1"/>
    </row>
    <row r="17355" spans="9:9" x14ac:dyDescent="0.4">
      <c r="I17355" s="1"/>
    </row>
    <row r="17358" spans="9:9" x14ac:dyDescent="0.4">
      <c r="I17358" s="1"/>
    </row>
    <row r="17360" spans="9:9" x14ac:dyDescent="0.4">
      <c r="I17360" s="1"/>
    </row>
    <row r="17364" spans="9:9" x14ac:dyDescent="0.4">
      <c r="I17364" s="1"/>
    </row>
    <row r="17367" spans="9:9" x14ac:dyDescent="0.4">
      <c r="I17367" s="1"/>
    </row>
    <row r="17373" spans="9:9" x14ac:dyDescent="0.4">
      <c r="I17373" s="1"/>
    </row>
    <row r="17376" spans="9:9" x14ac:dyDescent="0.4">
      <c r="I17376" s="1"/>
    </row>
    <row r="17377" spans="9:9" x14ac:dyDescent="0.4">
      <c r="I17377" s="1"/>
    </row>
    <row r="17380" spans="9:9" x14ac:dyDescent="0.4">
      <c r="I17380" s="1"/>
    </row>
    <row r="17383" spans="9:9" x14ac:dyDescent="0.4">
      <c r="I17383" s="1"/>
    </row>
    <row r="17389" spans="9:9" x14ac:dyDescent="0.4">
      <c r="I17389" s="1"/>
    </row>
    <row r="17398" spans="9:9" x14ac:dyDescent="0.4">
      <c r="I17398" s="1"/>
    </row>
    <row r="17404" spans="9:9" x14ac:dyDescent="0.4">
      <c r="I17404" s="1"/>
    </row>
    <row r="17410" spans="9:9" x14ac:dyDescent="0.4">
      <c r="I17410" s="1"/>
    </row>
    <row r="17415" spans="9:9" x14ac:dyDescent="0.4">
      <c r="I17415" s="1"/>
    </row>
    <row r="17431" spans="9:9" x14ac:dyDescent="0.4">
      <c r="I17431" s="1"/>
    </row>
    <row r="17434" spans="9:9" x14ac:dyDescent="0.4">
      <c r="I17434" s="1"/>
    </row>
    <row r="17440" spans="9:9" x14ac:dyDescent="0.4">
      <c r="I17440" s="1"/>
    </row>
    <row r="17441" spans="9:9" x14ac:dyDescent="0.4">
      <c r="I17441" s="1"/>
    </row>
    <row r="17442" spans="9:9" x14ac:dyDescent="0.4">
      <c r="I17442" s="1"/>
    </row>
    <row r="17444" spans="9:9" x14ac:dyDescent="0.4">
      <c r="I17444" s="1"/>
    </row>
    <row r="17445" spans="9:9" x14ac:dyDescent="0.4">
      <c r="I17445" s="1"/>
    </row>
    <row r="17451" spans="9:9" x14ac:dyDescent="0.4">
      <c r="I17451" s="1"/>
    </row>
    <row r="17463" spans="9:9" x14ac:dyDescent="0.4">
      <c r="I17463" s="1"/>
    </row>
    <row r="17470" spans="9:9" x14ac:dyDescent="0.4">
      <c r="I17470" s="1"/>
    </row>
    <row r="17471" spans="9:9" x14ac:dyDescent="0.4">
      <c r="I17471" s="1"/>
    </row>
    <row r="17483" spans="9:9" x14ac:dyDescent="0.4">
      <c r="I17483" s="1"/>
    </row>
    <row r="17489" spans="9:9" x14ac:dyDescent="0.4">
      <c r="I17489" s="1"/>
    </row>
    <row r="17494" spans="9:9" x14ac:dyDescent="0.4">
      <c r="I17494" s="1"/>
    </row>
    <row r="17498" spans="9:9" x14ac:dyDescent="0.4">
      <c r="I17498" s="1"/>
    </row>
    <row r="17501" spans="9:9" x14ac:dyDescent="0.4">
      <c r="I17501" s="1"/>
    </row>
    <row r="17502" spans="9:9" x14ac:dyDescent="0.4">
      <c r="I17502" s="1"/>
    </row>
    <row r="17506" spans="9:9" x14ac:dyDescent="0.4">
      <c r="I17506" s="1"/>
    </row>
    <row r="17509" spans="9:9" x14ac:dyDescent="0.4">
      <c r="I17509" s="1"/>
    </row>
    <row r="17512" spans="9:9" x14ac:dyDescent="0.4">
      <c r="I17512" s="1"/>
    </row>
    <row r="17521" spans="6:9" x14ac:dyDescent="0.4">
      <c r="I17521" s="1"/>
    </row>
    <row r="17522" spans="6:9" x14ac:dyDescent="0.4">
      <c r="I17522" s="1"/>
    </row>
    <row r="17529" spans="6:9" x14ac:dyDescent="0.4">
      <c r="F17529" s="1"/>
    </row>
    <row r="17533" spans="6:9" x14ac:dyDescent="0.4">
      <c r="I17533" s="1"/>
    </row>
    <row r="17534" spans="6:9" x14ac:dyDescent="0.4">
      <c r="I17534" s="1"/>
    </row>
    <row r="17536" spans="6:9" x14ac:dyDescent="0.4">
      <c r="I17536" s="1"/>
    </row>
    <row r="17537" spans="9:9" x14ac:dyDescent="0.4">
      <c r="I17537" s="1"/>
    </row>
    <row r="17539" spans="9:9" x14ac:dyDescent="0.4">
      <c r="I17539" s="1"/>
    </row>
    <row r="17540" spans="9:9" x14ac:dyDescent="0.4">
      <c r="I17540" s="1"/>
    </row>
    <row r="17548" spans="9:9" x14ac:dyDescent="0.4">
      <c r="I17548" s="1"/>
    </row>
    <row r="17549" spans="9:9" x14ac:dyDescent="0.4">
      <c r="I17549" s="1"/>
    </row>
    <row r="17551" spans="9:9" x14ac:dyDescent="0.4">
      <c r="I17551" s="1"/>
    </row>
    <row r="17553" spans="9:9" x14ac:dyDescent="0.4">
      <c r="I17553" s="1"/>
    </row>
    <row r="17560" spans="9:9" x14ac:dyDescent="0.4">
      <c r="I17560" s="1"/>
    </row>
    <row r="17574" spans="9:9" x14ac:dyDescent="0.4">
      <c r="I17574" s="1"/>
    </row>
    <row r="17575" spans="9:9" x14ac:dyDescent="0.4">
      <c r="I17575" s="1"/>
    </row>
    <row r="17579" spans="9:9" x14ac:dyDescent="0.4">
      <c r="I17579" s="1"/>
    </row>
    <row r="17582" spans="9:9" x14ac:dyDescent="0.4">
      <c r="I17582" s="1"/>
    </row>
    <row r="17585" spans="9:9" x14ac:dyDescent="0.4">
      <c r="I17585" s="1"/>
    </row>
    <row r="17597" spans="9:9" x14ac:dyDescent="0.4">
      <c r="I17597" s="1"/>
    </row>
    <row r="17599" spans="9:9" x14ac:dyDescent="0.4">
      <c r="I17599" s="1"/>
    </row>
    <row r="17602" spans="9:9" x14ac:dyDescent="0.4">
      <c r="I17602" s="1"/>
    </row>
    <row r="17603" spans="9:9" x14ac:dyDescent="0.4">
      <c r="I17603" s="1"/>
    </row>
    <row r="17604" spans="9:9" x14ac:dyDescent="0.4">
      <c r="I17604" s="1"/>
    </row>
    <row r="17615" spans="9:9" x14ac:dyDescent="0.4">
      <c r="I17615" s="1"/>
    </row>
    <row r="17624" spans="9:9" x14ac:dyDescent="0.4">
      <c r="I17624" s="1"/>
    </row>
    <row r="17642" spans="9:9" x14ac:dyDescent="0.4">
      <c r="I17642" s="1"/>
    </row>
    <row r="17656" spans="9:9" x14ac:dyDescent="0.4">
      <c r="I17656" s="1"/>
    </row>
    <row r="17657" spans="9:9" x14ac:dyDescent="0.4">
      <c r="I17657" s="1"/>
    </row>
    <row r="17659" spans="9:9" x14ac:dyDescent="0.4">
      <c r="I17659" s="1"/>
    </row>
    <row r="17663" spans="9:9" x14ac:dyDescent="0.4">
      <c r="I17663" s="1"/>
    </row>
    <row r="17678" spans="9:9" x14ac:dyDescent="0.4">
      <c r="I17678" s="1"/>
    </row>
    <row r="17679" spans="9:9" x14ac:dyDescent="0.4">
      <c r="I17679" s="1"/>
    </row>
    <row r="17682" spans="9:9" x14ac:dyDescent="0.4">
      <c r="I17682" s="1"/>
    </row>
    <row r="17687" spans="9:9" x14ac:dyDescent="0.4">
      <c r="I17687" s="1"/>
    </row>
    <row r="17691" spans="9:9" x14ac:dyDescent="0.4">
      <c r="I17691" s="1"/>
    </row>
    <row r="17699" spans="9:9" x14ac:dyDescent="0.4">
      <c r="I17699" s="1"/>
    </row>
    <row r="17708" spans="9:9" x14ac:dyDescent="0.4">
      <c r="I17708" s="1"/>
    </row>
    <row r="17714" spans="9:9" x14ac:dyDescent="0.4">
      <c r="I17714" s="1"/>
    </row>
    <row r="17715" spans="9:9" x14ac:dyDescent="0.4">
      <c r="I17715" s="1"/>
    </row>
    <row r="17722" spans="9:9" x14ac:dyDescent="0.4">
      <c r="I17722" s="1"/>
    </row>
    <row r="17725" spans="9:9" x14ac:dyDescent="0.4">
      <c r="I17725" s="1"/>
    </row>
    <row r="17729" spans="9:9" x14ac:dyDescent="0.4">
      <c r="I17729" s="1"/>
    </row>
    <row r="17735" spans="9:9" x14ac:dyDescent="0.4">
      <c r="I17735" s="1"/>
    </row>
    <row r="17736" spans="9:9" x14ac:dyDescent="0.4">
      <c r="I17736" s="1"/>
    </row>
    <row r="17738" spans="9:9" x14ac:dyDescent="0.4">
      <c r="I17738" s="1"/>
    </row>
    <row r="17746" spans="9:9" x14ac:dyDescent="0.4">
      <c r="I17746" s="1"/>
    </row>
    <row r="17778" spans="9:9" x14ac:dyDescent="0.4">
      <c r="I17778" s="1"/>
    </row>
    <row r="17791" spans="9:9" x14ac:dyDescent="0.4">
      <c r="I17791" s="1"/>
    </row>
    <row r="17794" spans="9:9" x14ac:dyDescent="0.4">
      <c r="I17794" s="1"/>
    </row>
    <row r="17800" spans="9:9" x14ac:dyDescent="0.4">
      <c r="I17800" s="1"/>
    </row>
    <row r="17801" spans="9:9" x14ac:dyDescent="0.4">
      <c r="I17801" s="1"/>
    </row>
    <row r="17804" spans="9:9" x14ac:dyDescent="0.4">
      <c r="I17804" s="1"/>
    </row>
    <row r="17805" spans="9:9" x14ac:dyDescent="0.4">
      <c r="I17805" s="1"/>
    </row>
    <row r="17806" spans="9:9" x14ac:dyDescent="0.4">
      <c r="I17806" s="1"/>
    </row>
    <row r="17810" spans="9:9" x14ac:dyDescent="0.4">
      <c r="I17810" s="1"/>
    </row>
    <row r="17813" spans="9:9" x14ac:dyDescent="0.4">
      <c r="I17813" s="1"/>
    </row>
    <row r="17824" spans="9:9" x14ac:dyDescent="0.4">
      <c r="I17824" s="1"/>
    </row>
    <row r="17826" spans="9:9" x14ac:dyDescent="0.4">
      <c r="I17826" s="1"/>
    </row>
    <row r="17831" spans="9:9" x14ac:dyDescent="0.4">
      <c r="I17831" s="1"/>
    </row>
    <row r="17842" spans="9:9" x14ac:dyDescent="0.4">
      <c r="I17842" s="1"/>
    </row>
    <row r="17848" spans="9:9" x14ac:dyDescent="0.4">
      <c r="I17848" s="1"/>
    </row>
    <row r="17849" spans="9:9" x14ac:dyDescent="0.4">
      <c r="I17849" s="1"/>
    </row>
    <row r="17853" spans="9:9" x14ac:dyDescent="0.4">
      <c r="I17853" s="1"/>
    </row>
    <row r="17856" spans="9:9" x14ac:dyDescent="0.4">
      <c r="I17856" s="1"/>
    </row>
    <row r="17862" spans="6:9" x14ac:dyDescent="0.4">
      <c r="I17862" s="1"/>
    </row>
    <row r="17863" spans="6:9" x14ac:dyDescent="0.4">
      <c r="I17863" s="1"/>
    </row>
    <row r="17870" spans="6:9" x14ac:dyDescent="0.4">
      <c r="I17870" s="1"/>
    </row>
    <row r="17872" spans="6:9" x14ac:dyDescent="0.4">
      <c r="F17872" s="1"/>
    </row>
    <row r="17875" spans="9:9" x14ac:dyDescent="0.4">
      <c r="I17875" s="1"/>
    </row>
    <row r="17878" spans="9:9" x14ac:dyDescent="0.4">
      <c r="I17878" s="1"/>
    </row>
    <row r="17886" spans="9:9" x14ac:dyDescent="0.4">
      <c r="I17886" s="1"/>
    </row>
    <row r="17892" spans="9:9" x14ac:dyDescent="0.4">
      <c r="I17892" s="1"/>
    </row>
    <row r="17894" spans="9:9" x14ac:dyDescent="0.4">
      <c r="I17894" s="1"/>
    </row>
    <row r="17899" spans="9:9" x14ac:dyDescent="0.4">
      <c r="I17899" s="1"/>
    </row>
    <row r="17902" spans="9:9" x14ac:dyDescent="0.4">
      <c r="I17902" s="1"/>
    </row>
    <row r="17904" spans="9:9" x14ac:dyDescent="0.4">
      <c r="I17904" s="1"/>
    </row>
    <row r="17905" spans="9:9" x14ac:dyDescent="0.4">
      <c r="I17905" s="1"/>
    </row>
    <row r="17908" spans="9:9" x14ac:dyDescent="0.4">
      <c r="I17908" s="1"/>
    </row>
    <row r="17909" spans="9:9" x14ac:dyDescent="0.4">
      <c r="I17909" s="1"/>
    </row>
    <row r="17913" spans="9:9" x14ac:dyDescent="0.4">
      <c r="I17913" s="1"/>
    </row>
    <row r="17915" spans="9:9" x14ac:dyDescent="0.4">
      <c r="I17915" s="1"/>
    </row>
    <row r="17917" spans="9:9" x14ac:dyDescent="0.4">
      <c r="I17917" s="1"/>
    </row>
    <row r="17918" spans="9:9" x14ac:dyDescent="0.4">
      <c r="I17918" s="1"/>
    </row>
    <row r="17928" spans="9:9" x14ac:dyDescent="0.4">
      <c r="I17928" s="1"/>
    </row>
    <row r="17929" spans="9:9" x14ac:dyDescent="0.4">
      <c r="I17929" s="1"/>
    </row>
    <row r="17931" spans="9:9" x14ac:dyDescent="0.4">
      <c r="I17931" s="1"/>
    </row>
    <row r="17934" spans="9:9" x14ac:dyDescent="0.4">
      <c r="I17934" s="1"/>
    </row>
    <row r="17937" spans="9:9" x14ac:dyDescent="0.4">
      <c r="I17937" s="1"/>
    </row>
    <row r="17938" spans="9:9" x14ac:dyDescent="0.4">
      <c r="I17938" s="1"/>
    </row>
    <row r="17939" spans="9:9" x14ac:dyDescent="0.4">
      <c r="I17939" s="1"/>
    </row>
    <row r="17940" spans="9:9" x14ac:dyDescent="0.4">
      <c r="I17940" s="1"/>
    </row>
    <row r="17941" spans="9:9" x14ac:dyDescent="0.4">
      <c r="I17941" s="1"/>
    </row>
    <row r="17943" spans="9:9" x14ac:dyDescent="0.4">
      <c r="I17943" s="1"/>
    </row>
    <row r="17959" spans="9:9" x14ac:dyDescent="0.4">
      <c r="I17959" s="1"/>
    </row>
    <row r="17960" spans="9:9" x14ac:dyDescent="0.4">
      <c r="I17960" s="1"/>
    </row>
    <row r="17977" spans="9:9" x14ac:dyDescent="0.4">
      <c r="I17977" s="1"/>
    </row>
    <row r="17979" spans="9:9" x14ac:dyDescent="0.4">
      <c r="I17979" s="1"/>
    </row>
    <row r="17980" spans="9:9" x14ac:dyDescent="0.4">
      <c r="I17980" s="1"/>
    </row>
    <row r="17982" spans="9:9" x14ac:dyDescent="0.4">
      <c r="I17982" s="1"/>
    </row>
    <row r="17985" spans="9:9" x14ac:dyDescent="0.4">
      <c r="I17985" s="1"/>
    </row>
    <row r="17986" spans="9:9" x14ac:dyDescent="0.4">
      <c r="I17986" s="1"/>
    </row>
    <row r="17994" spans="9:9" x14ac:dyDescent="0.4">
      <c r="I17994" s="1"/>
    </row>
    <row r="17995" spans="9:9" x14ac:dyDescent="0.4">
      <c r="I17995" s="1"/>
    </row>
    <row r="18008" spans="9:9" x14ac:dyDescent="0.4">
      <c r="I18008" s="1"/>
    </row>
    <row r="18016" spans="9:9" x14ac:dyDescent="0.4">
      <c r="I18016" s="1"/>
    </row>
    <row r="18017" spans="9:9" x14ac:dyDescent="0.4">
      <c r="I18017" s="1"/>
    </row>
    <row r="18018" spans="9:9" x14ac:dyDescent="0.4">
      <c r="I18018" s="1"/>
    </row>
    <row r="18029" spans="9:9" x14ac:dyDescent="0.4">
      <c r="I18029" s="1"/>
    </row>
    <row r="18043" spans="9:9" x14ac:dyDescent="0.4">
      <c r="I18043" s="1"/>
    </row>
    <row r="18062" spans="9:9" x14ac:dyDescent="0.4">
      <c r="I18062" s="1"/>
    </row>
    <row r="18065" spans="9:9" x14ac:dyDescent="0.4">
      <c r="I18065" s="1"/>
    </row>
    <row r="18074" spans="9:9" x14ac:dyDescent="0.4">
      <c r="I18074" s="1"/>
    </row>
    <row r="18076" spans="9:9" x14ac:dyDescent="0.4">
      <c r="I18076" s="1"/>
    </row>
    <row r="18080" spans="9:9" x14ac:dyDescent="0.4">
      <c r="I18080" s="1"/>
    </row>
    <row r="18085" spans="9:9" x14ac:dyDescent="0.4">
      <c r="I18085" s="1"/>
    </row>
    <row r="18089" spans="9:9" x14ac:dyDescent="0.4">
      <c r="I18089" s="1"/>
    </row>
    <row r="18094" spans="9:9" x14ac:dyDescent="0.4">
      <c r="I18094" s="1"/>
    </row>
    <row r="18098" spans="9:9" x14ac:dyDescent="0.4">
      <c r="I18098" s="1"/>
    </row>
    <row r="18113" spans="9:9" x14ac:dyDescent="0.4">
      <c r="I18113" s="1"/>
    </row>
    <row r="18118" spans="9:9" x14ac:dyDescent="0.4">
      <c r="I18118" s="1"/>
    </row>
    <row r="18120" spans="9:9" x14ac:dyDescent="0.4">
      <c r="I18120" s="1"/>
    </row>
    <row r="18122" spans="9:9" x14ac:dyDescent="0.4">
      <c r="I18122" s="1"/>
    </row>
    <row r="18125" spans="9:9" x14ac:dyDescent="0.4">
      <c r="I18125" s="1"/>
    </row>
    <row r="18131" spans="6:9" x14ac:dyDescent="0.4">
      <c r="I18131" s="1"/>
    </row>
    <row r="18136" spans="6:9" x14ac:dyDescent="0.4">
      <c r="I18136" s="1"/>
    </row>
    <row r="18137" spans="6:9" x14ac:dyDescent="0.4">
      <c r="I18137" s="1"/>
    </row>
    <row r="18142" spans="6:9" x14ac:dyDescent="0.4">
      <c r="F18142" s="1"/>
    </row>
    <row r="18146" spans="9:9" x14ac:dyDescent="0.4">
      <c r="I18146" s="1"/>
    </row>
    <row r="18147" spans="9:9" x14ac:dyDescent="0.4">
      <c r="I18147" s="1"/>
    </row>
    <row r="18148" spans="9:9" x14ac:dyDescent="0.4">
      <c r="I18148" s="1"/>
    </row>
    <row r="18149" spans="9:9" x14ac:dyDescent="0.4">
      <c r="I18149" s="1"/>
    </row>
    <row r="18150" spans="9:9" x14ac:dyDescent="0.4">
      <c r="I18150" s="1"/>
    </row>
    <row r="18152" spans="9:9" x14ac:dyDescent="0.4">
      <c r="I18152" s="1"/>
    </row>
    <row r="18164" spans="9:9" x14ac:dyDescent="0.4">
      <c r="I18164" s="1"/>
    </row>
    <row r="18168" spans="9:9" x14ac:dyDescent="0.4">
      <c r="I18168" s="1"/>
    </row>
    <row r="18172" spans="9:9" x14ac:dyDescent="0.4">
      <c r="I18172" s="1"/>
    </row>
    <row r="18175" spans="9:9" x14ac:dyDescent="0.4">
      <c r="I18175" s="1"/>
    </row>
    <row r="18178" spans="9:9" x14ac:dyDescent="0.4">
      <c r="I18178" s="1"/>
    </row>
    <row r="18179" spans="9:9" x14ac:dyDescent="0.4">
      <c r="I18179" s="1"/>
    </row>
    <row r="18182" spans="9:9" x14ac:dyDescent="0.4">
      <c r="I18182" s="1"/>
    </row>
    <row r="18184" spans="9:9" x14ac:dyDescent="0.4">
      <c r="I18184" s="1"/>
    </row>
    <row r="18195" spans="6:9" x14ac:dyDescent="0.4">
      <c r="F18195" s="1"/>
    </row>
    <row r="18200" spans="6:9" x14ac:dyDescent="0.4">
      <c r="I18200" s="1"/>
    </row>
    <row r="18211" spans="9:9" x14ac:dyDescent="0.4">
      <c r="I18211" s="1"/>
    </row>
    <row r="18212" spans="9:9" x14ac:dyDescent="0.4">
      <c r="I18212" s="1"/>
    </row>
    <row r="18220" spans="9:9" x14ac:dyDescent="0.4">
      <c r="I18220" s="1"/>
    </row>
    <row r="18222" spans="9:9" x14ac:dyDescent="0.4">
      <c r="I18222" s="1"/>
    </row>
    <row r="18228" spans="9:9" x14ac:dyDescent="0.4">
      <c r="I18228" s="1"/>
    </row>
    <row r="18233" spans="9:9" x14ac:dyDescent="0.4">
      <c r="I18233" s="1"/>
    </row>
    <row r="18235" spans="9:9" x14ac:dyDescent="0.4">
      <c r="I18235" s="1"/>
    </row>
    <row r="18237" spans="9:9" x14ac:dyDescent="0.4">
      <c r="I18237" s="1"/>
    </row>
    <row r="18239" spans="9:9" x14ac:dyDescent="0.4">
      <c r="I18239" s="1"/>
    </row>
    <row r="18240" spans="9:9" x14ac:dyDescent="0.4">
      <c r="I18240" s="1"/>
    </row>
    <row r="18243" spans="6:9" x14ac:dyDescent="0.4">
      <c r="I18243" s="1"/>
    </row>
    <row r="18244" spans="6:9" x14ac:dyDescent="0.4">
      <c r="I18244" s="1"/>
    </row>
    <row r="18245" spans="6:9" x14ac:dyDescent="0.4">
      <c r="I18245" s="1"/>
    </row>
    <row r="18246" spans="6:9" x14ac:dyDescent="0.4">
      <c r="F18246" s="1"/>
    </row>
    <row r="18253" spans="6:9" x14ac:dyDescent="0.4">
      <c r="I18253" s="1"/>
    </row>
    <row r="18254" spans="6:9" x14ac:dyDescent="0.4">
      <c r="I18254" s="1"/>
    </row>
    <row r="18256" spans="6:9" x14ac:dyDescent="0.4">
      <c r="I18256" s="1"/>
    </row>
    <row r="18264" spans="6:9" x14ac:dyDescent="0.4">
      <c r="I18264" s="1"/>
    </row>
    <row r="18267" spans="6:9" x14ac:dyDescent="0.4">
      <c r="F18267" s="1"/>
    </row>
    <row r="18268" spans="6:9" x14ac:dyDescent="0.4">
      <c r="I18268" s="1"/>
    </row>
    <row r="18272" spans="6:9" x14ac:dyDescent="0.4">
      <c r="I18272" s="1"/>
    </row>
    <row r="18275" spans="6:9" x14ac:dyDescent="0.4">
      <c r="I18275" s="1"/>
    </row>
    <row r="18276" spans="6:9" x14ac:dyDescent="0.4">
      <c r="F18276" s="1"/>
    </row>
    <row r="18280" spans="6:9" x14ac:dyDescent="0.4">
      <c r="I18280" s="1"/>
    </row>
    <row r="18292" spans="6:9" x14ac:dyDescent="0.4">
      <c r="F18292" s="1"/>
    </row>
    <row r="18293" spans="6:9" x14ac:dyDescent="0.4">
      <c r="I18293" s="1"/>
    </row>
    <row r="18309" spans="9:9" x14ac:dyDescent="0.4">
      <c r="I18309" s="1"/>
    </row>
    <row r="18317" spans="9:9" x14ac:dyDescent="0.4">
      <c r="I18317" s="1"/>
    </row>
    <row r="18319" spans="9:9" x14ac:dyDescent="0.4">
      <c r="I18319" s="1"/>
    </row>
    <row r="18334" spans="9:9" x14ac:dyDescent="0.4">
      <c r="I18334" s="1"/>
    </row>
    <row r="18341" spans="9:9" x14ac:dyDescent="0.4">
      <c r="I18341" s="1"/>
    </row>
    <row r="18343" spans="9:9" x14ac:dyDescent="0.4">
      <c r="I18343" s="1"/>
    </row>
    <row r="18345" spans="9:9" x14ac:dyDescent="0.4">
      <c r="I18345" s="1"/>
    </row>
    <row r="18347" spans="9:9" x14ac:dyDescent="0.4">
      <c r="I18347" s="1"/>
    </row>
    <row r="18350" spans="9:9" x14ac:dyDescent="0.4">
      <c r="I18350" s="1"/>
    </row>
    <row r="18352" spans="9:9" x14ac:dyDescent="0.4">
      <c r="I18352" s="1"/>
    </row>
    <row r="18353" spans="9:9" x14ac:dyDescent="0.4">
      <c r="I18353" s="1"/>
    </row>
    <row r="18355" spans="9:9" x14ac:dyDescent="0.4">
      <c r="I18355" s="1"/>
    </row>
    <row r="18356" spans="9:9" x14ac:dyDescent="0.4">
      <c r="I18356" s="1"/>
    </row>
    <row r="18357" spans="9:9" x14ac:dyDescent="0.4">
      <c r="I18357" s="1"/>
    </row>
    <row r="18361" spans="9:9" x14ac:dyDescent="0.4">
      <c r="I18361" s="1"/>
    </row>
    <row r="18362" spans="9:9" x14ac:dyDescent="0.4">
      <c r="I18362" s="1"/>
    </row>
    <row r="18363" spans="9:9" x14ac:dyDescent="0.4">
      <c r="I18363" s="1"/>
    </row>
    <row r="18366" spans="9:9" x14ac:dyDescent="0.4">
      <c r="I18366" s="1"/>
    </row>
    <row r="18367" spans="9:9" x14ac:dyDescent="0.4">
      <c r="I18367" s="1"/>
    </row>
    <row r="18372" spans="9:9" x14ac:dyDescent="0.4">
      <c r="I18372" s="1"/>
    </row>
    <row r="18373" spans="9:9" x14ac:dyDescent="0.4">
      <c r="I18373" s="1"/>
    </row>
    <row r="18376" spans="9:9" x14ac:dyDescent="0.4">
      <c r="I18376" s="1"/>
    </row>
    <row r="18378" spans="9:9" x14ac:dyDescent="0.4">
      <c r="I18378" s="1"/>
    </row>
    <row r="18387" spans="9:9" x14ac:dyDescent="0.4">
      <c r="I18387" s="1"/>
    </row>
    <row r="18400" spans="9:9" x14ac:dyDescent="0.4">
      <c r="I18400" s="1"/>
    </row>
    <row r="18405" spans="9:9" x14ac:dyDescent="0.4">
      <c r="I18405" s="1"/>
    </row>
    <row r="18406" spans="9:9" x14ac:dyDescent="0.4">
      <c r="I18406" s="1"/>
    </row>
    <row r="18407" spans="9:9" x14ac:dyDescent="0.4">
      <c r="I18407" s="1"/>
    </row>
    <row r="18409" spans="9:9" x14ac:dyDescent="0.4">
      <c r="I18409" s="1"/>
    </row>
    <row r="18413" spans="9:9" x14ac:dyDescent="0.4">
      <c r="I18413" s="1"/>
    </row>
    <row r="18415" spans="9:9" x14ac:dyDescent="0.4">
      <c r="I18415" s="1"/>
    </row>
    <row r="18416" spans="9:9" x14ac:dyDescent="0.4">
      <c r="I18416" s="1"/>
    </row>
    <row r="18418" spans="9:9" x14ac:dyDescent="0.4">
      <c r="I18418" s="1"/>
    </row>
    <row r="18419" spans="9:9" x14ac:dyDescent="0.4">
      <c r="I18419" s="1"/>
    </row>
    <row r="18428" spans="9:9" x14ac:dyDescent="0.4">
      <c r="I18428" s="1"/>
    </row>
    <row r="18429" spans="9:9" x14ac:dyDescent="0.4">
      <c r="I18429" s="1"/>
    </row>
    <row r="18432" spans="9:9" x14ac:dyDescent="0.4">
      <c r="I18432" s="1"/>
    </row>
    <row r="18433" spans="6:9" x14ac:dyDescent="0.4">
      <c r="F18433" s="1"/>
      <c r="I18433" s="1"/>
    </row>
    <row r="18436" spans="6:9" x14ac:dyDescent="0.4">
      <c r="F18436" s="1"/>
      <c r="I18436" s="1"/>
    </row>
    <row r="18438" spans="6:9" x14ac:dyDescent="0.4">
      <c r="I18438" s="1"/>
    </row>
    <row r="18443" spans="6:9" x14ac:dyDescent="0.4">
      <c r="I18443" s="1"/>
    </row>
    <row r="18445" spans="6:9" x14ac:dyDescent="0.4">
      <c r="I18445" s="1"/>
    </row>
    <row r="18447" spans="6:9" x14ac:dyDescent="0.4">
      <c r="I18447" s="1"/>
    </row>
    <row r="18448" spans="6:9" x14ac:dyDescent="0.4">
      <c r="I18448" s="1"/>
    </row>
    <row r="18452" spans="9:9" x14ac:dyDescent="0.4">
      <c r="I18452" s="1"/>
    </row>
    <row r="18453" spans="9:9" x14ac:dyDescent="0.4">
      <c r="I18453" s="1"/>
    </row>
    <row r="18457" spans="9:9" x14ac:dyDescent="0.4">
      <c r="I18457" s="1"/>
    </row>
    <row r="18458" spans="9:9" x14ac:dyDescent="0.4">
      <c r="I18458" s="1"/>
    </row>
    <row r="18459" spans="9:9" x14ac:dyDescent="0.4">
      <c r="I18459" s="1"/>
    </row>
    <row r="18463" spans="9:9" x14ac:dyDescent="0.4">
      <c r="I18463" s="1"/>
    </row>
    <row r="18464" spans="9:9" x14ac:dyDescent="0.4">
      <c r="I18464" s="1"/>
    </row>
    <row r="18465" spans="6:9" x14ac:dyDescent="0.4">
      <c r="I18465" s="1"/>
    </row>
    <row r="18467" spans="6:9" x14ac:dyDescent="0.4">
      <c r="I18467" s="1"/>
    </row>
    <row r="18468" spans="6:9" x14ac:dyDescent="0.4">
      <c r="I18468" s="1"/>
    </row>
    <row r="18471" spans="6:9" x14ac:dyDescent="0.4">
      <c r="I18471" s="1"/>
    </row>
    <row r="18473" spans="6:9" x14ac:dyDescent="0.4">
      <c r="F18473" s="1"/>
    </row>
    <row r="18476" spans="6:9" x14ac:dyDescent="0.4">
      <c r="I18476" s="1"/>
    </row>
    <row r="18478" spans="6:9" x14ac:dyDescent="0.4">
      <c r="I18478" s="1"/>
    </row>
    <row r="18481" spans="6:9" x14ac:dyDescent="0.4">
      <c r="I18481" s="1"/>
    </row>
    <row r="18483" spans="6:9" x14ac:dyDescent="0.4">
      <c r="I18483" s="1"/>
    </row>
    <row r="18484" spans="6:9" x14ac:dyDescent="0.4">
      <c r="I18484" s="1"/>
    </row>
    <row r="18487" spans="6:9" x14ac:dyDescent="0.4">
      <c r="I18487" s="1"/>
    </row>
    <row r="18490" spans="6:9" x14ac:dyDescent="0.4">
      <c r="I18490" s="1"/>
    </row>
    <row r="18491" spans="6:9" x14ac:dyDescent="0.4">
      <c r="F18491" s="1"/>
    </row>
    <row r="18492" spans="6:9" x14ac:dyDescent="0.4">
      <c r="I18492" s="1"/>
    </row>
    <row r="18494" spans="6:9" x14ac:dyDescent="0.4">
      <c r="I18494" s="1"/>
    </row>
    <row r="18496" spans="6:9" x14ac:dyDescent="0.4">
      <c r="F18496" s="1"/>
    </row>
    <row r="18499" spans="9:9" x14ac:dyDescent="0.4">
      <c r="I18499" s="1"/>
    </row>
    <row r="18504" spans="9:9" x14ac:dyDescent="0.4">
      <c r="I18504" s="1"/>
    </row>
    <row r="18512" spans="9:9" x14ac:dyDescent="0.4">
      <c r="I18512" s="1"/>
    </row>
    <row r="18516" spans="9:9" x14ac:dyDescent="0.4">
      <c r="I18516" s="1"/>
    </row>
    <row r="18517" spans="9:9" x14ac:dyDescent="0.4">
      <c r="I18517" s="1"/>
    </row>
    <row r="18519" spans="9:9" x14ac:dyDescent="0.4">
      <c r="I18519" s="1"/>
    </row>
    <row r="18521" spans="9:9" x14ac:dyDescent="0.4">
      <c r="I18521" s="1"/>
    </row>
    <row r="18523" spans="9:9" x14ac:dyDescent="0.4">
      <c r="I18523" s="1"/>
    </row>
    <row r="18527" spans="9:9" x14ac:dyDescent="0.4">
      <c r="I18527" s="1"/>
    </row>
    <row r="18533" spans="9:9" x14ac:dyDescent="0.4">
      <c r="I18533" s="1"/>
    </row>
    <row r="18534" spans="9:9" x14ac:dyDescent="0.4">
      <c r="I18534" s="1"/>
    </row>
    <row r="18535" spans="9:9" x14ac:dyDescent="0.4">
      <c r="I18535" s="1"/>
    </row>
    <row r="18537" spans="9:9" x14ac:dyDescent="0.4">
      <c r="I18537" s="1"/>
    </row>
    <row r="18545" spans="9:9" x14ac:dyDescent="0.4">
      <c r="I18545" s="1"/>
    </row>
    <row r="18547" spans="9:9" x14ac:dyDescent="0.4">
      <c r="I18547" s="1"/>
    </row>
    <row r="18563" spans="9:9" x14ac:dyDescent="0.4">
      <c r="I18563" s="1"/>
    </row>
    <row r="18571" spans="9:9" x14ac:dyDescent="0.4">
      <c r="I18571" s="1"/>
    </row>
    <row r="18578" spans="9:9" x14ac:dyDescent="0.4">
      <c r="I18578" s="1"/>
    </row>
    <row r="18581" spans="9:9" x14ac:dyDescent="0.4">
      <c r="I18581" s="1"/>
    </row>
    <row r="18591" spans="9:9" x14ac:dyDescent="0.4">
      <c r="I18591" s="1"/>
    </row>
    <row r="18593" spans="9:9" x14ac:dyDescent="0.4">
      <c r="I18593" s="1"/>
    </row>
    <row r="18594" spans="9:9" x14ac:dyDescent="0.4">
      <c r="I18594" s="1"/>
    </row>
    <row r="18599" spans="9:9" x14ac:dyDescent="0.4">
      <c r="I18599" s="1"/>
    </row>
    <row r="18600" spans="9:9" x14ac:dyDescent="0.4">
      <c r="I18600" s="1"/>
    </row>
    <row r="18606" spans="9:9" x14ac:dyDescent="0.4">
      <c r="I18606" s="1"/>
    </row>
    <row r="18608" spans="9:9" x14ac:dyDescent="0.4">
      <c r="I18608" s="1"/>
    </row>
    <row r="18612" spans="6:9" x14ac:dyDescent="0.4">
      <c r="F18612" s="1"/>
    </row>
    <row r="18615" spans="6:9" x14ac:dyDescent="0.4">
      <c r="I18615" s="1"/>
    </row>
    <row r="18620" spans="6:9" x14ac:dyDescent="0.4">
      <c r="I18620" s="1"/>
    </row>
    <row r="18623" spans="6:9" x14ac:dyDescent="0.4">
      <c r="I18623" s="1"/>
    </row>
    <row r="18624" spans="6:9" x14ac:dyDescent="0.4">
      <c r="I18624" s="1"/>
    </row>
    <row r="18626" spans="9:9" x14ac:dyDescent="0.4">
      <c r="I18626" s="1"/>
    </row>
    <row r="18648" spans="9:9" x14ac:dyDescent="0.4">
      <c r="I18648" s="1"/>
    </row>
    <row r="18652" spans="9:9" x14ac:dyDescent="0.4">
      <c r="I18652" s="1"/>
    </row>
    <row r="18653" spans="9:9" x14ac:dyDescent="0.4">
      <c r="I18653" s="1"/>
    </row>
    <row r="18668" spans="9:9" x14ac:dyDescent="0.4">
      <c r="I18668" s="1"/>
    </row>
    <row r="18671" spans="9:9" x14ac:dyDescent="0.4">
      <c r="I18671" s="1"/>
    </row>
    <row r="18674" spans="9:9" x14ac:dyDescent="0.4">
      <c r="I18674" s="1"/>
    </row>
    <row r="18675" spans="9:9" x14ac:dyDescent="0.4">
      <c r="I18675" s="1"/>
    </row>
    <row r="18678" spans="9:9" x14ac:dyDescent="0.4">
      <c r="I18678" s="1"/>
    </row>
    <row r="18683" spans="9:9" x14ac:dyDescent="0.4">
      <c r="I18683" s="1"/>
    </row>
    <row r="18686" spans="9:9" x14ac:dyDescent="0.4">
      <c r="I18686" s="1"/>
    </row>
    <row r="18692" spans="9:9" x14ac:dyDescent="0.4">
      <c r="I18692" s="1"/>
    </row>
    <row r="18695" spans="9:9" x14ac:dyDescent="0.4">
      <c r="I18695" s="1"/>
    </row>
    <row r="18717" spans="9:9" x14ac:dyDescent="0.4">
      <c r="I18717" s="1"/>
    </row>
    <row r="18727" spans="9:9" x14ac:dyDescent="0.4">
      <c r="I18727" s="1"/>
    </row>
    <row r="18728" spans="9:9" x14ac:dyDescent="0.4">
      <c r="I18728" s="1"/>
    </row>
    <row r="18729" spans="9:9" x14ac:dyDescent="0.4">
      <c r="I18729" s="1"/>
    </row>
    <row r="18734" spans="9:9" x14ac:dyDescent="0.4">
      <c r="I18734" s="1"/>
    </row>
    <row r="18736" spans="9:9" x14ac:dyDescent="0.4">
      <c r="I18736" s="1"/>
    </row>
    <row r="18737" spans="9:9" x14ac:dyDescent="0.4">
      <c r="I18737" s="1"/>
    </row>
    <row r="18739" spans="9:9" x14ac:dyDescent="0.4">
      <c r="I18739" s="1"/>
    </row>
    <row r="18747" spans="9:9" x14ac:dyDescent="0.4">
      <c r="I18747" s="1"/>
    </row>
    <row r="18753" spans="9:9" x14ac:dyDescent="0.4">
      <c r="I18753" s="1"/>
    </row>
    <row r="18758" spans="9:9" x14ac:dyDescent="0.4">
      <c r="I18758" s="1"/>
    </row>
    <row r="18762" spans="9:9" x14ac:dyDescent="0.4">
      <c r="I18762" s="1"/>
    </row>
    <row r="18765" spans="9:9" x14ac:dyDescent="0.4">
      <c r="I18765" s="1"/>
    </row>
    <row r="18767" spans="9:9" x14ac:dyDescent="0.4">
      <c r="I18767" s="1"/>
    </row>
    <row r="18768" spans="9:9" x14ac:dyDescent="0.4">
      <c r="I18768" s="1"/>
    </row>
    <row r="18769" spans="6:9" x14ac:dyDescent="0.4">
      <c r="F18769" s="1"/>
      <c r="I18769" s="1"/>
    </row>
    <row r="18770" spans="6:9" x14ac:dyDescent="0.4">
      <c r="I18770" s="1"/>
    </row>
    <row r="18772" spans="6:9" x14ac:dyDescent="0.4">
      <c r="I18772" s="1"/>
    </row>
    <row r="18783" spans="6:9" x14ac:dyDescent="0.4">
      <c r="I18783" s="1"/>
    </row>
    <row r="18790" spans="9:9" x14ac:dyDescent="0.4">
      <c r="I18790" s="1"/>
    </row>
    <row r="18793" spans="9:9" x14ac:dyDescent="0.4">
      <c r="I18793" s="1"/>
    </row>
    <row r="18795" spans="9:9" x14ac:dyDescent="0.4">
      <c r="I18795" s="1"/>
    </row>
    <row r="18798" spans="9:9" x14ac:dyDescent="0.4">
      <c r="I18798" s="1"/>
    </row>
    <row r="18802" spans="9:9" x14ac:dyDescent="0.4">
      <c r="I18802" s="1"/>
    </row>
    <row r="18803" spans="9:9" x14ac:dyDescent="0.4">
      <c r="I18803" s="1"/>
    </row>
    <row r="18804" spans="9:9" x14ac:dyDescent="0.4">
      <c r="I18804" s="1"/>
    </row>
    <row r="18810" spans="9:9" x14ac:dyDescent="0.4">
      <c r="I18810" s="1"/>
    </row>
    <row r="18811" spans="9:9" x14ac:dyDescent="0.4">
      <c r="I18811" s="1"/>
    </row>
    <row r="18815" spans="9:9" x14ac:dyDescent="0.4">
      <c r="I18815" s="1"/>
    </row>
    <row r="18816" spans="9:9" x14ac:dyDescent="0.4">
      <c r="I18816" s="1"/>
    </row>
    <row r="18819" spans="9:9" x14ac:dyDescent="0.4">
      <c r="I18819" s="1"/>
    </row>
    <row r="18822" spans="9:9" x14ac:dyDescent="0.4">
      <c r="I18822" s="1"/>
    </row>
    <row r="18825" spans="9:9" x14ac:dyDescent="0.4">
      <c r="I18825" s="1"/>
    </row>
    <row r="18826" spans="9:9" x14ac:dyDescent="0.4">
      <c r="I18826" s="1"/>
    </row>
    <row r="18828" spans="9:9" x14ac:dyDescent="0.4">
      <c r="I18828" s="1"/>
    </row>
    <row r="18834" spans="9:9" x14ac:dyDescent="0.4">
      <c r="I18834" s="1"/>
    </row>
  </sheetData>
  <sortState xmlns:xlrd2="http://schemas.microsoft.com/office/spreadsheetml/2017/richdata2" ref="A2:M18835">
    <sortCondition ref="M1:M18835"/>
  </sortState>
  <phoneticPr fontId="19" type="noConversion"/>
  <conditionalFormatting sqref="A1:A978">
    <cfRule type="duplicateValues" dxfId="0" priority="1"/>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A98C3-0CA2-6B4A-9148-132022719F8B}">
  <dimension ref="A1:L150"/>
  <sheetViews>
    <sheetView topLeftCell="A74" zoomScale="109" workbookViewId="0">
      <selection activeCell="J16" sqref="J16"/>
    </sheetView>
  </sheetViews>
  <sheetFormatPr defaultColWidth="11" defaultRowHeight="15.75" customHeight="1" x14ac:dyDescent="0.4"/>
  <cols>
    <col min="3" max="3" width="11.1640625" bestFit="1" customWidth="1"/>
    <col min="5" max="5" width="11.5" bestFit="1" customWidth="1"/>
    <col min="6" max="6" width="12.5" customWidth="1"/>
    <col min="8" max="8" width="10.83203125" customWidth="1"/>
  </cols>
  <sheetData>
    <row r="1" spans="1:12" ht="16" x14ac:dyDescent="0.4">
      <c r="A1" s="5" t="s">
        <v>19</v>
      </c>
      <c r="B1" s="5" t="s">
        <v>38</v>
      </c>
      <c r="C1" s="5" t="s">
        <v>22</v>
      </c>
      <c r="D1" s="5" t="s">
        <v>25</v>
      </c>
      <c r="E1" s="5" t="s">
        <v>27</v>
      </c>
      <c r="F1" s="10" t="s">
        <v>32</v>
      </c>
      <c r="G1" s="5" t="s">
        <v>40</v>
      </c>
      <c r="H1" s="5" t="s">
        <v>42</v>
      </c>
    </row>
    <row r="2" spans="1:12" ht="16" x14ac:dyDescent="0.4">
      <c r="A2" t="s">
        <v>47</v>
      </c>
      <c r="B2" s="3" t="s">
        <v>48</v>
      </c>
      <c r="C2" s="2">
        <v>1</v>
      </c>
      <c r="D2" s="2">
        <v>54</v>
      </c>
      <c r="E2" s="3">
        <v>0.75800000000000001</v>
      </c>
      <c r="F2" s="3">
        <v>0.11600000000000001</v>
      </c>
      <c r="G2" s="2">
        <v>93</v>
      </c>
      <c r="H2" s="2">
        <v>177</v>
      </c>
    </row>
    <row r="3" spans="1:12" ht="16" x14ac:dyDescent="0.4">
      <c r="A3" t="s">
        <v>47</v>
      </c>
      <c r="B3" s="3" t="s">
        <v>48</v>
      </c>
      <c r="C3" s="2">
        <v>9</v>
      </c>
      <c r="D3" s="2">
        <v>74</v>
      </c>
      <c r="E3" s="3">
        <v>0.50700000000000001</v>
      </c>
      <c r="F3" s="3">
        <v>1.8200000000000001E-2</v>
      </c>
      <c r="G3" s="2">
        <v>105</v>
      </c>
      <c r="H3" s="2">
        <v>244</v>
      </c>
    </row>
    <row r="4" spans="1:12" ht="16" x14ac:dyDescent="0.4">
      <c r="A4" t="s">
        <v>53</v>
      </c>
      <c r="B4" s="3" t="s">
        <v>48</v>
      </c>
      <c r="C4" s="2">
        <v>2</v>
      </c>
      <c r="D4" s="2">
        <v>47</v>
      </c>
      <c r="E4" s="3">
        <v>0.71199999999999997</v>
      </c>
      <c r="F4" s="3">
        <v>0.30599999999999999</v>
      </c>
      <c r="G4" s="2">
        <v>150</v>
      </c>
      <c r="H4" s="2">
        <v>224</v>
      </c>
    </row>
    <row r="5" spans="1:12" ht="16" x14ac:dyDescent="0.4">
      <c r="A5" t="s">
        <v>56</v>
      </c>
      <c r="B5" s="3" t="s">
        <v>48</v>
      </c>
      <c r="C5" s="2">
        <v>1</v>
      </c>
      <c r="D5" s="2">
        <v>44</v>
      </c>
      <c r="E5" s="3">
        <v>0.51800000000000002</v>
      </c>
      <c r="F5" s="3">
        <v>2.2599999999999999E-2</v>
      </c>
      <c r="G5" s="2">
        <v>128</v>
      </c>
      <c r="H5" s="2">
        <v>234</v>
      </c>
    </row>
    <row r="6" spans="1:12" ht="16" x14ac:dyDescent="0.4">
      <c r="A6" t="s">
        <v>53</v>
      </c>
      <c r="B6" s="3" t="s">
        <v>48</v>
      </c>
      <c r="C6" s="2">
        <v>1</v>
      </c>
      <c r="D6" s="2">
        <v>61</v>
      </c>
      <c r="E6" s="3">
        <v>0.73399999999999999</v>
      </c>
      <c r="F6" s="3">
        <v>8.1399999999999997E-3</v>
      </c>
      <c r="G6" s="2">
        <v>83</v>
      </c>
      <c r="H6" s="2">
        <v>177</v>
      </c>
      <c r="K6" s="20"/>
      <c r="L6" s="20"/>
    </row>
    <row r="7" spans="1:12" ht="16" x14ac:dyDescent="0.4">
      <c r="A7" t="s">
        <v>61</v>
      </c>
      <c r="B7" s="3" t="s">
        <v>48</v>
      </c>
      <c r="C7" s="2">
        <v>45</v>
      </c>
      <c r="D7" s="2">
        <v>10</v>
      </c>
      <c r="E7" s="3">
        <v>0.65600000000000003</v>
      </c>
      <c r="F7" s="3">
        <v>4.5999999999999999E-2</v>
      </c>
      <c r="G7" s="2">
        <v>145</v>
      </c>
      <c r="H7" s="2">
        <v>169</v>
      </c>
    </row>
    <row r="8" spans="1:12" ht="16" x14ac:dyDescent="0.4">
      <c r="A8" t="s">
        <v>61</v>
      </c>
      <c r="B8" s="3" t="s">
        <v>48</v>
      </c>
      <c r="C8" s="2">
        <v>13</v>
      </c>
      <c r="D8" s="2">
        <v>1</v>
      </c>
      <c r="E8" s="3">
        <v>0.498</v>
      </c>
      <c r="F8" s="3">
        <v>0.32</v>
      </c>
      <c r="G8" s="2">
        <v>101</v>
      </c>
      <c r="H8" s="2">
        <v>170</v>
      </c>
    </row>
    <row r="9" spans="1:12" ht="16" x14ac:dyDescent="0.4">
      <c r="A9" t="s">
        <v>66</v>
      </c>
      <c r="B9" s="3" t="s">
        <v>67</v>
      </c>
      <c r="C9" s="2">
        <v>3</v>
      </c>
      <c r="D9" s="2">
        <v>30</v>
      </c>
      <c r="E9" s="3">
        <v>0.62</v>
      </c>
      <c r="F9" s="3">
        <v>0.29699999999999999</v>
      </c>
      <c r="G9" s="2">
        <v>87</v>
      </c>
      <c r="H9" s="2">
        <v>220</v>
      </c>
    </row>
    <row r="10" spans="1:12" ht="16" x14ac:dyDescent="0.4">
      <c r="A10" t="s">
        <v>47</v>
      </c>
      <c r="B10" s="3" t="s">
        <v>48</v>
      </c>
      <c r="C10" s="2">
        <v>1</v>
      </c>
      <c r="D10" s="2">
        <v>31</v>
      </c>
      <c r="E10" s="3">
        <v>0.64600000000000002</v>
      </c>
      <c r="F10" s="3">
        <v>5.21E-2</v>
      </c>
      <c r="G10" s="2">
        <v>112</v>
      </c>
      <c r="H10" s="2">
        <v>234</v>
      </c>
    </row>
    <row r="11" spans="1:12" ht="16" x14ac:dyDescent="0.4">
      <c r="A11" t="s">
        <v>61</v>
      </c>
      <c r="B11" s="3" t="s">
        <v>48</v>
      </c>
      <c r="C11" s="2">
        <v>44</v>
      </c>
      <c r="D11" s="2">
        <v>77</v>
      </c>
      <c r="E11" s="3">
        <v>0.754</v>
      </c>
      <c r="F11" s="3">
        <v>0.153</v>
      </c>
      <c r="G11" s="2">
        <v>126</v>
      </c>
      <c r="H11" s="2">
        <v>215</v>
      </c>
    </row>
    <row r="12" spans="1:12" ht="16" x14ac:dyDescent="0.4">
      <c r="A12" t="s">
        <v>61</v>
      </c>
      <c r="B12" s="3" t="s">
        <v>48</v>
      </c>
      <c r="C12" s="2">
        <v>16</v>
      </c>
      <c r="D12" s="2">
        <v>4</v>
      </c>
      <c r="E12" s="3">
        <v>0.28000000000000003</v>
      </c>
      <c r="F12" s="3">
        <v>2.3199999999999998E-2</v>
      </c>
      <c r="G12" s="2">
        <v>100</v>
      </c>
      <c r="H12" s="2">
        <v>406</v>
      </c>
    </row>
    <row r="13" spans="1:12" ht="16" x14ac:dyDescent="0.4">
      <c r="A13" t="s">
        <v>61</v>
      </c>
      <c r="B13" s="3" t="s">
        <v>48</v>
      </c>
      <c r="C13" s="2">
        <v>32</v>
      </c>
      <c r="D13" s="2">
        <v>14</v>
      </c>
      <c r="E13" s="3">
        <v>0.44400000000000001</v>
      </c>
      <c r="F13" s="3">
        <v>1.1199999999999999E-3</v>
      </c>
      <c r="G13" s="2">
        <v>106</v>
      </c>
      <c r="H13" s="2">
        <v>447</v>
      </c>
    </row>
    <row r="14" spans="1:12" ht="16" x14ac:dyDescent="0.4">
      <c r="A14" t="s">
        <v>66</v>
      </c>
      <c r="B14" s="3" t="s">
        <v>67</v>
      </c>
      <c r="C14" s="2">
        <v>4</v>
      </c>
      <c r="D14" s="2">
        <v>2</v>
      </c>
      <c r="E14" s="3">
        <v>0.55000000000000004</v>
      </c>
      <c r="F14" s="3">
        <v>9.5700000000000004E-3</v>
      </c>
      <c r="G14" s="2">
        <v>118</v>
      </c>
      <c r="H14" s="2">
        <v>379</v>
      </c>
    </row>
    <row r="15" spans="1:12" ht="16" x14ac:dyDescent="0.4">
      <c r="A15" t="s">
        <v>47</v>
      </c>
      <c r="B15" s="3" t="s">
        <v>48</v>
      </c>
      <c r="C15" s="2">
        <v>5</v>
      </c>
      <c r="D15" s="2">
        <v>53</v>
      </c>
      <c r="E15" s="3">
        <v>0.72199999999999998</v>
      </c>
      <c r="F15" s="3">
        <v>1.0200000000000001E-2</v>
      </c>
      <c r="G15" s="2">
        <v>122</v>
      </c>
      <c r="H15" s="2">
        <v>236</v>
      </c>
    </row>
    <row r="16" spans="1:12" ht="16" x14ac:dyDescent="0.4">
      <c r="A16" t="s">
        <v>47</v>
      </c>
      <c r="B16" s="3" t="s">
        <v>48</v>
      </c>
      <c r="C16" s="2">
        <v>3</v>
      </c>
      <c r="D16" s="2">
        <v>79</v>
      </c>
      <c r="E16" s="3">
        <v>0.69</v>
      </c>
      <c r="F16" s="3">
        <v>0.253</v>
      </c>
      <c r="G16" s="2">
        <v>102</v>
      </c>
      <c r="H16" s="2">
        <v>210</v>
      </c>
    </row>
    <row r="17" spans="1:8" ht="16" x14ac:dyDescent="0.4">
      <c r="A17" t="s">
        <v>84</v>
      </c>
      <c r="B17" s="3" t="s">
        <v>48</v>
      </c>
      <c r="C17" s="2">
        <v>10</v>
      </c>
      <c r="D17" s="2">
        <v>28</v>
      </c>
      <c r="E17" s="3">
        <v>0.38700000000000001</v>
      </c>
      <c r="F17" s="3">
        <v>4.1599999999999998E-2</v>
      </c>
      <c r="G17" s="2">
        <v>79</v>
      </c>
      <c r="H17" s="2">
        <v>318</v>
      </c>
    </row>
    <row r="18" spans="1:8" ht="16" x14ac:dyDescent="0.4">
      <c r="A18" t="s">
        <v>53</v>
      </c>
      <c r="B18" s="3" t="s">
        <v>48</v>
      </c>
      <c r="C18" s="2">
        <v>15</v>
      </c>
      <c r="D18" s="2">
        <v>52</v>
      </c>
      <c r="E18" s="3">
        <v>0.70299999999999996</v>
      </c>
      <c r="F18" s="3">
        <v>0.53500000000000003</v>
      </c>
      <c r="G18" s="2">
        <v>93</v>
      </c>
      <c r="H18" s="2">
        <v>267</v>
      </c>
    </row>
    <row r="19" spans="1:8" ht="16" x14ac:dyDescent="0.4">
      <c r="A19" t="s">
        <v>53</v>
      </c>
      <c r="B19" s="3" t="s">
        <v>48</v>
      </c>
      <c r="C19" s="2">
        <v>1</v>
      </c>
      <c r="D19" s="2">
        <v>32</v>
      </c>
      <c r="E19" s="3">
        <v>0.65100000000000002</v>
      </c>
      <c r="F19" s="3">
        <v>0.19400000000000001</v>
      </c>
      <c r="G19" s="2">
        <v>162</v>
      </c>
      <c r="H19" s="2">
        <v>236</v>
      </c>
    </row>
    <row r="20" spans="1:8" ht="16" x14ac:dyDescent="0.4">
      <c r="A20" t="s">
        <v>53</v>
      </c>
      <c r="B20" s="3" t="s">
        <v>48</v>
      </c>
      <c r="C20" s="2">
        <v>4</v>
      </c>
      <c r="D20" s="2">
        <v>37</v>
      </c>
      <c r="E20" s="3">
        <v>0.66700000000000004</v>
      </c>
      <c r="F20" s="3">
        <v>0.13200000000000001</v>
      </c>
      <c r="G20" s="2">
        <v>174</v>
      </c>
      <c r="H20" s="2">
        <v>191</v>
      </c>
    </row>
    <row r="21" spans="1:8" ht="16" x14ac:dyDescent="0.4">
      <c r="A21" t="s">
        <v>47</v>
      </c>
      <c r="B21" s="3" t="s">
        <v>67</v>
      </c>
      <c r="C21" s="2">
        <v>0</v>
      </c>
      <c r="D21" s="2">
        <v>37</v>
      </c>
      <c r="E21" s="3">
        <v>0.65200000000000002</v>
      </c>
      <c r="F21" s="3">
        <v>0.56200000000000006</v>
      </c>
      <c r="G21" s="2">
        <v>132</v>
      </c>
      <c r="H21" s="2">
        <v>213</v>
      </c>
    </row>
    <row r="22" spans="1:8" ht="16" x14ac:dyDescent="0.4">
      <c r="A22" t="s">
        <v>61</v>
      </c>
      <c r="B22" s="3" t="s">
        <v>48</v>
      </c>
      <c r="C22" s="2">
        <v>35</v>
      </c>
      <c r="D22" s="2">
        <v>29</v>
      </c>
      <c r="E22" s="3">
        <v>0.64200000000000002</v>
      </c>
      <c r="F22" s="3">
        <v>0.60699999999999998</v>
      </c>
      <c r="G22" s="2">
        <v>127</v>
      </c>
      <c r="H22" s="2">
        <v>220</v>
      </c>
    </row>
    <row r="23" spans="1:8" ht="16" x14ac:dyDescent="0.4">
      <c r="A23" t="s">
        <v>61</v>
      </c>
      <c r="B23" s="3" t="s">
        <v>48</v>
      </c>
      <c r="C23" s="2">
        <v>30</v>
      </c>
      <c r="D23" s="2">
        <v>59</v>
      </c>
      <c r="E23" s="3">
        <v>0.27300000000000002</v>
      </c>
      <c r="F23" s="3">
        <v>2.41E-2</v>
      </c>
      <c r="G23" s="2">
        <v>82</v>
      </c>
      <c r="H23" s="2">
        <v>287</v>
      </c>
    </row>
    <row r="24" spans="1:8" ht="16" x14ac:dyDescent="0.4">
      <c r="A24" t="s">
        <v>56</v>
      </c>
      <c r="B24" s="3" t="s">
        <v>48</v>
      </c>
      <c r="C24" s="2">
        <v>1</v>
      </c>
      <c r="D24" s="2">
        <v>63</v>
      </c>
      <c r="E24" s="3">
        <v>0.57099999999999995</v>
      </c>
      <c r="F24" s="3">
        <v>1.14E-2</v>
      </c>
      <c r="G24" s="2">
        <v>150</v>
      </c>
      <c r="H24" s="2">
        <v>253</v>
      </c>
    </row>
    <row r="25" spans="1:8" ht="16" x14ac:dyDescent="0.4">
      <c r="A25" t="s">
        <v>61</v>
      </c>
      <c r="B25" s="3" t="s">
        <v>48</v>
      </c>
      <c r="C25" s="2">
        <v>38</v>
      </c>
      <c r="D25" s="2">
        <v>33</v>
      </c>
      <c r="E25" s="3">
        <v>0.54100000000000004</v>
      </c>
      <c r="F25" s="3">
        <v>4.7500000000000001E-2</v>
      </c>
      <c r="G25" s="2">
        <v>140</v>
      </c>
      <c r="H25" s="2">
        <v>341</v>
      </c>
    </row>
    <row r="26" spans="1:8" ht="16" x14ac:dyDescent="0.4">
      <c r="A26" t="s">
        <v>84</v>
      </c>
      <c r="B26" s="3" t="s">
        <v>48</v>
      </c>
      <c r="C26" s="2">
        <v>2</v>
      </c>
      <c r="D26" s="2">
        <v>28</v>
      </c>
      <c r="E26" s="3">
        <v>0.74</v>
      </c>
      <c r="F26" s="3">
        <v>0.129</v>
      </c>
      <c r="G26" s="2">
        <v>85</v>
      </c>
      <c r="H26" s="2">
        <v>295</v>
      </c>
    </row>
    <row r="27" spans="1:8" ht="16" x14ac:dyDescent="0.4">
      <c r="A27" t="s">
        <v>61</v>
      </c>
      <c r="B27" s="3" t="s">
        <v>48</v>
      </c>
      <c r="C27" s="2">
        <v>1</v>
      </c>
      <c r="D27" s="2">
        <v>41</v>
      </c>
      <c r="E27" s="3">
        <v>0.495</v>
      </c>
      <c r="F27" s="3">
        <v>7.3000000000000001E-3</v>
      </c>
      <c r="G27" s="2">
        <v>92</v>
      </c>
      <c r="H27" s="2">
        <v>203</v>
      </c>
    </row>
    <row r="28" spans="1:8" ht="16" x14ac:dyDescent="0.4">
      <c r="A28" t="s">
        <v>56</v>
      </c>
      <c r="B28" s="3" t="s">
        <v>48</v>
      </c>
      <c r="C28" s="2">
        <v>1</v>
      </c>
      <c r="D28" s="2">
        <v>47</v>
      </c>
      <c r="E28" s="3">
        <v>0.59799999999999998</v>
      </c>
      <c r="F28" s="3">
        <v>9.3800000000000003E-5</v>
      </c>
      <c r="G28" s="2">
        <v>140</v>
      </c>
      <c r="H28" s="2">
        <v>174</v>
      </c>
    </row>
    <row r="29" spans="1:8" ht="16" x14ac:dyDescent="0.4">
      <c r="A29" t="s">
        <v>61</v>
      </c>
      <c r="B29" s="3" t="s">
        <v>48</v>
      </c>
      <c r="C29" s="2">
        <v>24</v>
      </c>
      <c r="D29" s="2">
        <v>3</v>
      </c>
      <c r="E29" s="3">
        <v>0.55200000000000005</v>
      </c>
      <c r="F29" s="3">
        <v>0.38300000000000001</v>
      </c>
      <c r="G29" s="2">
        <v>128</v>
      </c>
      <c r="H29" s="2">
        <v>346</v>
      </c>
    </row>
    <row r="30" spans="1:8" ht="16" x14ac:dyDescent="0.4">
      <c r="A30" t="s">
        <v>56</v>
      </c>
      <c r="B30" s="3" t="s">
        <v>48</v>
      </c>
      <c r="C30" s="2">
        <v>1</v>
      </c>
      <c r="D30" s="2">
        <v>30</v>
      </c>
      <c r="E30" s="3">
        <v>0.71199999999999997</v>
      </c>
      <c r="F30" s="3">
        <v>3.7399999999999998E-3</v>
      </c>
      <c r="G30" s="2">
        <v>126</v>
      </c>
      <c r="H30" s="2">
        <v>166</v>
      </c>
    </row>
    <row r="31" spans="1:8" ht="16" x14ac:dyDescent="0.4">
      <c r="A31" t="s">
        <v>47</v>
      </c>
      <c r="B31" s="3" t="s">
        <v>48</v>
      </c>
      <c r="C31" s="2">
        <v>8</v>
      </c>
      <c r="D31" s="2">
        <v>63</v>
      </c>
      <c r="E31" s="3">
        <v>0.51400000000000001</v>
      </c>
      <c r="F31" s="3">
        <v>0.20799999999999999</v>
      </c>
      <c r="G31" s="2">
        <v>95</v>
      </c>
      <c r="H31" s="2">
        <v>234</v>
      </c>
    </row>
    <row r="32" spans="1:8" ht="16" x14ac:dyDescent="0.4">
      <c r="A32" t="s">
        <v>84</v>
      </c>
      <c r="B32" s="3" t="s">
        <v>48</v>
      </c>
      <c r="C32" s="2">
        <v>1</v>
      </c>
      <c r="D32" s="2">
        <v>50</v>
      </c>
      <c r="E32" s="3">
        <v>0.72299999999999998</v>
      </c>
      <c r="F32" s="3">
        <v>8.1899999999999994E-3</v>
      </c>
      <c r="G32" s="2">
        <v>168</v>
      </c>
      <c r="H32" s="2">
        <v>151</v>
      </c>
    </row>
    <row r="33" spans="1:8" ht="16" x14ac:dyDescent="0.4">
      <c r="A33" t="s">
        <v>56</v>
      </c>
      <c r="B33" s="3" t="s">
        <v>48</v>
      </c>
      <c r="C33" s="2">
        <v>1</v>
      </c>
      <c r="D33" s="2">
        <v>37</v>
      </c>
      <c r="E33" s="3">
        <v>0.57799999999999996</v>
      </c>
      <c r="F33" s="3">
        <v>3.48E-3</v>
      </c>
      <c r="G33" s="2">
        <v>120</v>
      </c>
      <c r="H33" s="2">
        <v>227</v>
      </c>
    </row>
    <row r="34" spans="1:8" ht="16" x14ac:dyDescent="0.4">
      <c r="A34" t="s">
        <v>84</v>
      </c>
      <c r="B34" s="3" t="s">
        <v>48</v>
      </c>
      <c r="C34" s="2">
        <v>1</v>
      </c>
      <c r="D34" s="2">
        <v>53</v>
      </c>
      <c r="E34" s="3">
        <v>0.93500000000000005</v>
      </c>
      <c r="F34" s="3">
        <v>0.315</v>
      </c>
      <c r="G34" s="2">
        <v>128</v>
      </c>
      <c r="H34" s="2">
        <v>143</v>
      </c>
    </row>
    <row r="35" spans="1:8" ht="16" x14ac:dyDescent="0.4">
      <c r="A35" t="s">
        <v>84</v>
      </c>
      <c r="B35" s="3" t="s">
        <v>48</v>
      </c>
      <c r="C35" s="2">
        <v>19</v>
      </c>
      <c r="D35" s="2">
        <v>52</v>
      </c>
      <c r="E35" s="3">
        <v>0.94799999999999995</v>
      </c>
      <c r="F35" s="3">
        <v>9.2400000000000002E-4</v>
      </c>
      <c r="G35" s="2">
        <v>100</v>
      </c>
      <c r="H35" s="2">
        <v>259</v>
      </c>
    </row>
    <row r="36" spans="1:8" ht="16" x14ac:dyDescent="0.4">
      <c r="A36" t="s">
        <v>53</v>
      </c>
      <c r="B36" s="3" t="s">
        <v>48</v>
      </c>
      <c r="C36" s="2">
        <v>1</v>
      </c>
      <c r="D36" s="2">
        <v>16</v>
      </c>
      <c r="E36" s="3">
        <v>0.69099999999999995</v>
      </c>
      <c r="F36" s="3">
        <v>0.32200000000000001</v>
      </c>
      <c r="G36" s="2">
        <v>154</v>
      </c>
      <c r="H36" s="2">
        <v>218</v>
      </c>
    </row>
    <row r="37" spans="1:8" ht="16" x14ac:dyDescent="0.4">
      <c r="A37" t="s">
        <v>66</v>
      </c>
      <c r="B37" s="3" t="s">
        <v>48</v>
      </c>
      <c r="C37" s="2">
        <v>1</v>
      </c>
      <c r="D37" s="2">
        <v>20</v>
      </c>
      <c r="E37" s="3">
        <v>0.58899999999999997</v>
      </c>
      <c r="F37" s="3">
        <v>0.24299999999999999</v>
      </c>
      <c r="G37" s="2">
        <v>97</v>
      </c>
      <c r="H37" s="2">
        <v>292</v>
      </c>
    </row>
    <row r="38" spans="1:8" ht="16" x14ac:dyDescent="0.4">
      <c r="A38" t="s">
        <v>66</v>
      </c>
      <c r="B38" s="3" t="s">
        <v>48</v>
      </c>
      <c r="C38" s="2">
        <v>50</v>
      </c>
      <c r="D38" s="2">
        <v>59</v>
      </c>
      <c r="E38" s="3">
        <v>0.48399999999999999</v>
      </c>
      <c r="F38" s="3">
        <v>0.79500000000000004</v>
      </c>
      <c r="G38" s="2">
        <v>141</v>
      </c>
      <c r="H38" s="2">
        <v>201</v>
      </c>
    </row>
    <row r="39" spans="1:8" ht="16" x14ac:dyDescent="0.4">
      <c r="A39" t="s">
        <v>66</v>
      </c>
      <c r="B39" s="3" t="s">
        <v>48</v>
      </c>
      <c r="C39" s="2">
        <v>6</v>
      </c>
      <c r="D39" s="2">
        <v>41</v>
      </c>
      <c r="E39" s="3">
        <v>0.54300000000000004</v>
      </c>
      <c r="F39" s="3">
        <v>6.6299999999999996E-4</v>
      </c>
      <c r="G39" s="2">
        <v>174</v>
      </c>
      <c r="H39" s="2">
        <v>293</v>
      </c>
    </row>
    <row r="40" spans="1:8" ht="16" x14ac:dyDescent="0.4">
      <c r="A40" t="s">
        <v>47</v>
      </c>
      <c r="B40" s="3" t="s">
        <v>48</v>
      </c>
      <c r="C40" s="2">
        <v>0</v>
      </c>
      <c r="D40" s="2">
        <v>51</v>
      </c>
      <c r="E40" s="3">
        <v>0.61399999999999999</v>
      </c>
      <c r="F40" s="3">
        <v>0.45100000000000001</v>
      </c>
      <c r="G40" s="2">
        <v>117</v>
      </c>
      <c r="H40" s="2">
        <v>207</v>
      </c>
    </row>
    <row r="41" spans="1:8" ht="16" x14ac:dyDescent="0.4">
      <c r="A41" t="s">
        <v>84</v>
      </c>
      <c r="B41" s="3" t="s">
        <v>67</v>
      </c>
      <c r="C41" s="2">
        <v>1</v>
      </c>
      <c r="D41" s="2">
        <v>7</v>
      </c>
      <c r="E41" s="3">
        <v>0.86899999999999999</v>
      </c>
      <c r="F41" s="3">
        <v>3.7400000000000003E-2</v>
      </c>
      <c r="G41" s="2">
        <v>92</v>
      </c>
      <c r="H41" s="2">
        <v>162</v>
      </c>
    </row>
    <row r="42" spans="1:8" ht="16" x14ac:dyDescent="0.4">
      <c r="A42" t="s">
        <v>61</v>
      </c>
      <c r="B42" s="3" t="s">
        <v>48</v>
      </c>
      <c r="C42" s="2">
        <v>16</v>
      </c>
      <c r="D42" s="2">
        <v>44</v>
      </c>
      <c r="E42" s="3">
        <v>0.434</v>
      </c>
      <c r="F42" s="3">
        <v>6.2200000000000005E-4</v>
      </c>
      <c r="G42" s="2">
        <v>170</v>
      </c>
      <c r="H42" s="2">
        <v>204</v>
      </c>
    </row>
    <row r="43" spans="1:8" ht="16" x14ac:dyDescent="0.4">
      <c r="A43" t="s">
        <v>66</v>
      </c>
      <c r="B43" s="3" t="s">
        <v>48</v>
      </c>
      <c r="C43" s="2">
        <v>4</v>
      </c>
      <c r="D43" s="2">
        <v>54</v>
      </c>
      <c r="E43" s="3">
        <v>0.67600000000000005</v>
      </c>
      <c r="F43" s="3">
        <v>3.6200000000000002E-4</v>
      </c>
      <c r="G43" s="2">
        <v>130</v>
      </c>
      <c r="H43" s="2">
        <v>214</v>
      </c>
    </row>
    <row r="44" spans="1:8" ht="16" x14ac:dyDescent="0.4">
      <c r="A44" t="s">
        <v>84</v>
      </c>
      <c r="B44" s="3" t="s">
        <v>48</v>
      </c>
      <c r="C44" s="2">
        <v>21</v>
      </c>
      <c r="D44" s="2">
        <v>5</v>
      </c>
      <c r="E44" s="3">
        <v>0.70499999999999996</v>
      </c>
      <c r="F44" s="3">
        <v>1.37E-2</v>
      </c>
      <c r="G44" s="2">
        <v>170</v>
      </c>
      <c r="H44" s="2">
        <v>234</v>
      </c>
    </row>
    <row r="45" spans="1:8" ht="16" x14ac:dyDescent="0.4">
      <c r="A45" t="s">
        <v>84</v>
      </c>
      <c r="B45" s="3" t="s">
        <v>48</v>
      </c>
      <c r="C45" s="2">
        <v>3</v>
      </c>
      <c r="D45" s="2">
        <v>41</v>
      </c>
      <c r="E45" s="3">
        <v>0.64400000000000002</v>
      </c>
      <c r="F45" s="3">
        <v>3.29E-3</v>
      </c>
      <c r="G45" s="2">
        <v>109</v>
      </c>
      <c r="H45" s="2">
        <v>125</v>
      </c>
    </row>
    <row r="46" spans="1:8" ht="16" x14ac:dyDescent="0.4">
      <c r="A46" t="s">
        <v>84</v>
      </c>
      <c r="B46" s="3" t="s">
        <v>48</v>
      </c>
      <c r="C46" s="2">
        <v>19</v>
      </c>
      <c r="D46" s="2">
        <v>3</v>
      </c>
      <c r="E46" s="3">
        <v>0.28599999999999998</v>
      </c>
      <c r="F46" s="3">
        <v>4.6499999999999999E-5</v>
      </c>
      <c r="G46" s="2">
        <v>87</v>
      </c>
      <c r="H46" s="2">
        <v>364</v>
      </c>
    </row>
    <row r="47" spans="1:8" ht="16" x14ac:dyDescent="0.4">
      <c r="A47" t="s">
        <v>56</v>
      </c>
      <c r="B47" s="3" t="s">
        <v>48</v>
      </c>
      <c r="C47" s="2">
        <v>6</v>
      </c>
      <c r="D47" s="2">
        <v>37</v>
      </c>
      <c r="E47" s="3">
        <v>0.72599999999999998</v>
      </c>
      <c r="F47" s="3">
        <v>2.1600000000000001E-2</v>
      </c>
      <c r="G47" s="2">
        <v>128</v>
      </c>
      <c r="H47" s="2">
        <v>214</v>
      </c>
    </row>
    <row r="48" spans="1:8" ht="16" x14ac:dyDescent="0.4">
      <c r="A48" t="s">
        <v>56</v>
      </c>
      <c r="B48" s="3" t="s">
        <v>48</v>
      </c>
      <c r="C48" s="2">
        <v>0</v>
      </c>
      <c r="D48" s="2">
        <v>54</v>
      </c>
      <c r="E48" s="3">
        <v>0.52100000000000002</v>
      </c>
      <c r="F48" s="3">
        <v>2.47E-3</v>
      </c>
      <c r="G48" s="2">
        <v>126</v>
      </c>
      <c r="H48" s="2">
        <v>220</v>
      </c>
    </row>
    <row r="49" spans="1:8" ht="16" x14ac:dyDescent="0.4">
      <c r="A49" t="s">
        <v>61</v>
      </c>
      <c r="B49" s="3" t="s">
        <v>67</v>
      </c>
      <c r="C49" s="2">
        <v>3</v>
      </c>
      <c r="D49" s="2">
        <v>10</v>
      </c>
      <c r="E49" s="3">
        <v>0.28999999999999998</v>
      </c>
      <c r="F49" s="3">
        <v>1.2800000000000001E-3</v>
      </c>
      <c r="G49" s="2">
        <v>90</v>
      </c>
      <c r="H49" s="2">
        <v>300</v>
      </c>
    </row>
    <row r="50" spans="1:8" ht="16" x14ac:dyDescent="0.4">
      <c r="A50" t="s">
        <v>56</v>
      </c>
      <c r="B50" s="3" t="s">
        <v>48</v>
      </c>
      <c r="C50" s="2">
        <v>1</v>
      </c>
      <c r="D50" s="2">
        <v>41</v>
      </c>
      <c r="E50" s="3">
        <v>0.58099999999999996</v>
      </c>
      <c r="F50" s="3">
        <v>7.4700000000000003E-2</v>
      </c>
      <c r="G50" s="2">
        <v>142</v>
      </c>
      <c r="H50" s="2">
        <v>226</v>
      </c>
    </row>
    <row r="51" spans="1:8" ht="16" x14ac:dyDescent="0.4">
      <c r="A51" t="s">
        <v>61</v>
      </c>
      <c r="B51" s="3" t="s">
        <v>48</v>
      </c>
      <c r="C51" s="2">
        <v>1</v>
      </c>
      <c r="D51" s="2">
        <v>29</v>
      </c>
      <c r="E51" s="3">
        <v>0.16200000000000001</v>
      </c>
      <c r="F51" s="3">
        <v>8.2600000000000002E-5</v>
      </c>
      <c r="G51" s="2">
        <v>180</v>
      </c>
      <c r="H51" s="2">
        <v>318</v>
      </c>
    </row>
    <row r="52" spans="1:8" ht="16" x14ac:dyDescent="0.4">
      <c r="A52" t="s">
        <v>47</v>
      </c>
      <c r="B52" s="3" t="s">
        <v>67</v>
      </c>
      <c r="C52" s="2">
        <v>15</v>
      </c>
      <c r="D52" s="2">
        <v>80</v>
      </c>
      <c r="E52" s="3">
        <v>0.65700000000000003</v>
      </c>
      <c r="F52" s="3">
        <v>0.872</v>
      </c>
      <c r="G52" s="2">
        <v>104</v>
      </c>
      <c r="H52" s="2">
        <v>233</v>
      </c>
    </row>
    <row r="53" spans="1:8" ht="16" x14ac:dyDescent="0.4">
      <c r="A53" t="s">
        <v>47</v>
      </c>
      <c r="B53" s="3" t="s">
        <v>48</v>
      </c>
      <c r="C53" s="2">
        <v>1</v>
      </c>
      <c r="D53" s="2">
        <v>60</v>
      </c>
      <c r="E53" s="3">
        <v>0.623</v>
      </c>
      <c r="F53" s="3">
        <v>0.32400000000000001</v>
      </c>
      <c r="G53" s="2">
        <v>91</v>
      </c>
      <c r="H53" s="2">
        <v>205</v>
      </c>
    </row>
    <row r="54" spans="1:8" ht="16" x14ac:dyDescent="0.4">
      <c r="A54" t="s">
        <v>56</v>
      </c>
      <c r="B54" s="3" t="s">
        <v>48</v>
      </c>
      <c r="C54" s="2">
        <v>4</v>
      </c>
      <c r="D54" s="2">
        <v>17</v>
      </c>
      <c r="E54" s="3">
        <v>0.503</v>
      </c>
      <c r="F54" s="3">
        <v>0.109</v>
      </c>
      <c r="G54" s="2">
        <v>95</v>
      </c>
      <c r="H54" s="2">
        <v>273</v>
      </c>
    </row>
    <row r="55" spans="1:8" ht="16" x14ac:dyDescent="0.4">
      <c r="A55" t="s">
        <v>61</v>
      </c>
      <c r="B55" s="3" t="s">
        <v>67</v>
      </c>
      <c r="C55" s="2">
        <v>1</v>
      </c>
      <c r="D55" s="2">
        <v>36</v>
      </c>
      <c r="E55" s="3">
        <v>0.59299999999999997</v>
      </c>
      <c r="F55" s="3">
        <v>0.628</v>
      </c>
      <c r="G55" s="2">
        <v>167</v>
      </c>
      <c r="H55" s="2">
        <v>203</v>
      </c>
    </row>
    <row r="56" spans="1:8" ht="16" x14ac:dyDescent="0.4">
      <c r="A56" t="s">
        <v>47</v>
      </c>
      <c r="B56" s="3" t="s">
        <v>67</v>
      </c>
      <c r="C56" s="2">
        <v>0</v>
      </c>
      <c r="D56" s="2">
        <v>62</v>
      </c>
      <c r="E56" s="3">
        <v>0.92600000000000005</v>
      </c>
      <c r="F56" s="3">
        <v>0.37</v>
      </c>
      <c r="G56" s="2">
        <v>128</v>
      </c>
      <c r="H56" s="2">
        <v>167</v>
      </c>
    </row>
    <row r="57" spans="1:8" ht="16" x14ac:dyDescent="0.4">
      <c r="A57" t="s">
        <v>84</v>
      </c>
      <c r="B57" s="3" t="s">
        <v>67</v>
      </c>
      <c r="C57" s="2">
        <v>2</v>
      </c>
      <c r="D57" s="2">
        <v>47</v>
      </c>
      <c r="E57" s="3">
        <v>0.91400000000000003</v>
      </c>
      <c r="F57" s="3">
        <v>0.30299999999999999</v>
      </c>
      <c r="G57" s="2">
        <v>88</v>
      </c>
      <c r="H57" s="2">
        <v>109</v>
      </c>
    </row>
    <row r="58" spans="1:8" ht="16" x14ac:dyDescent="0.4">
      <c r="A58" t="s">
        <v>66</v>
      </c>
      <c r="B58" s="3" t="s">
        <v>48</v>
      </c>
      <c r="C58" s="2">
        <v>1</v>
      </c>
      <c r="D58" s="2">
        <v>18</v>
      </c>
      <c r="E58" s="3">
        <v>0.80500000000000005</v>
      </c>
      <c r="F58" s="3">
        <v>0.28100000000000003</v>
      </c>
      <c r="G58" s="2">
        <v>108</v>
      </c>
      <c r="H58" s="2">
        <v>172</v>
      </c>
    </row>
    <row r="59" spans="1:8" ht="16" x14ac:dyDescent="0.4">
      <c r="A59" t="s">
        <v>53</v>
      </c>
      <c r="B59" s="3" t="s">
        <v>48</v>
      </c>
      <c r="C59" s="2">
        <v>1</v>
      </c>
      <c r="D59" s="2">
        <v>53</v>
      </c>
      <c r="E59" s="3">
        <v>0.84599999999999997</v>
      </c>
      <c r="F59" s="3">
        <v>0.56699999999999995</v>
      </c>
      <c r="G59" s="2">
        <v>103</v>
      </c>
      <c r="H59" s="2">
        <v>197</v>
      </c>
    </row>
    <row r="60" spans="1:8" ht="16" x14ac:dyDescent="0.4">
      <c r="A60" t="s">
        <v>66</v>
      </c>
      <c r="B60" s="3" t="s">
        <v>48</v>
      </c>
      <c r="C60" s="2">
        <v>3</v>
      </c>
      <c r="D60" s="2">
        <v>52</v>
      </c>
      <c r="E60" s="3">
        <v>0.436</v>
      </c>
      <c r="F60" s="3">
        <v>9.1400000000000006E-3</v>
      </c>
      <c r="G60" s="2">
        <v>94</v>
      </c>
      <c r="H60" s="2">
        <v>506</v>
      </c>
    </row>
    <row r="61" spans="1:8" ht="16" x14ac:dyDescent="0.4">
      <c r="A61" t="s">
        <v>47</v>
      </c>
      <c r="B61" s="3" t="s">
        <v>48</v>
      </c>
      <c r="C61" s="2">
        <v>4</v>
      </c>
      <c r="D61" s="2">
        <v>59</v>
      </c>
      <c r="E61" s="3">
        <v>0.34200000000000003</v>
      </c>
      <c r="F61" s="3">
        <v>0.185</v>
      </c>
      <c r="G61" s="2">
        <v>83</v>
      </c>
      <c r="H61" s="2">
        <v>262</v>
      </c>
    </row>
    <row r="62" spans="1:8" ht="16" x14ac:dyDescent="0.4">
      <c r="A62" t="s">
        <v>47</v>
      </c>
      <c r="B62" s="3" t="s">
        <v>48</v>
      </c>
      <c r="C62" s="2">
        <v>5</v>
      </c>
      <c r="D62" s="2">
        <v>66</v>
      </c>
      <c r="E62" s="3">
        <v>0.68500000000000005</v>
      </c>
      <c r="F62" s="3">
        <v>0.437</v>
      </c>
      <c r="G62" s="2">
        <v>128</v>
      </c>
      <c r="H62" s="2">
        <v>230</v>
      </c>
    </row>
    <row r="63" spans="1:8" ht="16" x14ac:dyDescent="0.4">
      <c r="A63" t="s">
        <v>84</v>
      </c>
      <c r="B63" s="3" t="s">
        <v>48</v>
      </c>
      <c r="C63" s="2">
        <v>2</v>
      </c>
      <c r="D63" s="2">
        <v>46</v>
      </c>
      <c r="E63" s="3">
        <v>0.71899999999999997</v>
      </c>
      <c r="F63" s="3">
        <v>0.37</v>
      </c>
      <c r="G63" s="2">
        <v>84</v>
      </c>
      <c r="H63" s="2">
        <v>134</v>
      </c>
    </row>
    <row r="64" spans="1:8" ht="16" x14ac:dyDescent="0.4">
      <c r="A64" t="s">
        <v>53</v>
      </c>
      <c r="B64" s="3" t="s">
        <v>48</v>
      </c>
      <c r="C64" s="2">
        <v>4</v>
      </c>
      <c r="D64" s="2">
        <v>63</v>
      </c>
      <c r="E64" s="3">
        <v>0.77500000000000002</v>
      </c>
      <c r="F64" s="3">
        <v>5.67E-2</v>
      </c>
      <c r="G64" s="2">
        <v>93</v>
      </c>
      <c r="H64" s="2">
        <v>196</v>
      </c>
    </row>
    <row r="65" spans="1:8" ht="16" x14ac:dyDescent="0.4">
      <c r="A65" t="s">
        <v>53</v>
      </c>
      <c r="B65" s="3" t="s">
        <v>48</v>
      </c>
      <c r="C65" s="2">
        <v>18</v>
      </c>
      <c r="D65" s="2">
        <v>67</v>
      </c>
      <c r="E65" s="3">
        <v>0.48599999999999999</v>
      </c>
      <c r="F65" s="3">
        <v>0.29199999999999998</v>
      </c>
      <c r="G65" s="2">
        <v>84</v>
      </c>
      <c r="H65" s="2">
        <v>238</v>
      </c>
    </row>
    <row r="66" spans="1:8" ht="16" x14ac:dyDescent="0.4">
      <c r="A66" t="s">
        <v>61</v>
      </c>
      <c r="B66" s="3" t="s">
        <v>48</v>
      </c>
      <c r="C66" s="2">
        <v>32</v>
      </c>
      <c r="D66" s="2">
        <v>63</v>
      </c>
      <c r="E66" s="3">
        <v>0.52900000000000003</v>
      </c>
      <c r="F66" s="3">
        <v>1.2600000000000001E-3</v>
      </c>
      <c r="G66" s="2">
        <v>142</v>
      </c>
      <c r="H66" s="2">
        <v>236</v>
      </c>
    </row>
    <row r="67" spans="1:8" ht="16" x14ac:dyDescent="0.4">
      <c r="A67" t="s">
        <v>56</v>
      </c>
      <c r="B67" s="3" t="s">
        <v>48</v>
      </c>
      <c r="C67" s="2">
        <v>4</v>
      </c>
      <c r="D67" s="2">
        <v>5</v>
      </c>
      <c r="E67" s="3">
        <v>0.83199999999999996</v>
      </c>
      <c r="F67" s="3">
        <v>9.9699999999999997E-3</v>
      </c>
      <c r="G67" s="2">
        <v>118</v>
      </c>
      <c r="H67" s="2">
        <v>257</v>
      </c>
    </row>
    <row r="68" spans="1:8" ht="16" x14ac:dyDescent="0.4">
      <c r="A68" t="s">
        <v>53</v>
      </c>
      <c r="B68" s="3" t="s">
        <v>48</v>
      </c>
      <c r="C68" s="2">
        <v>3</v>
      </c>
      <c r="D68" s="2">
        <v>58</v>
      </c>
      <c r="E68" s="3">
        <v>0.85</v>
      </c>
      <c r="F68" s="3">
        <v>0.23100000000000001</v>
      </c>
      <c r="G68" s="2">
        <v>148</v>
      </c>
      <c r="H68" s="2">
        <v>221</v>
      </c>
    </row>
    <row r="69" spans="1:8" ht="16" x14ac:dyDescent="0.4">
      <c r="A69" t="s">
        <v>66</v>
      </c>
      <c r="B69" s="3" t="s">
        <v>67</v>
      </c>
      <c r="C69" s="2">
        <v>30</v>
      </c>
      <c r="D69" s="2">
        <v>2</v>
      </c>
      <c r="E69" s="3">
        <v>0.73599999999999999</v>
      </c>
      <c r="F69" s="3">
        <v>6.6E-3</v>
      </c>
      <c r="G69" s="2">
        <v>107</v>
      </c>
      <c r="H69" s="2">
        <v>282</v>
      </c>
    </row>
    <row r="70" spans="1:8" ht="16" x14ac:dyDescent="0.4">
      <c r="A70" t="s">
        <v>56</v>
      </c>
      <c r="B70" s="3" t="s">
        <v>67</v>
      </c>
      <c r="C70" s="2">
        <v>4</v>
      </c>
      <c r="D70" s="2">
        <v>61</v>
      </c>
      <c r="E70" s="3">
        <v>0.75800000000000001</v>
      </c>
      <c r="F70" s="3">
        <v>0.35699999999999998</v>
      </c>
      <c r="G70" s="2">
        <v>120</v>
      </c>
      <c r="H70" s="2">
        <v>292</v>
      </c>
    </row>
    <row r="71" spans="1:8" ht="16" x14ac:dyDescent="0.4">
      <c r="A71" t="s">
        <v>84</v>
      </c>
      <c r="B71" s="3" t="s">
        <v>48</v>
      </c>
      <c r="C71" s="2">
        <v>27</v>
      </c>
      <c r="D71" s="2">
        <v>72</v>
      </c>
      <c r="E71" s="3">
        <v>0.54900000000000004</v>
      </c>
      <c r="F71" s="3">
        <v>2.8500000000000001E-2</v>
      </c>
      <c r="G71" s="2">
        <v>95</v>
      </c>
      <c r="H71" s="2">
        <v>211</v>
      </c>
    </row>
    <row r="72" spans="1:8" ht="16" x14ac:dyDescent="0.4">
      <c r="A72" t="s">
        <v>47</v>
      </c>
      <c r="B72" s="3" t="s">
        <v>48</v>
      </c>
      <c r="C72" s="2">
        <v>1</v>
      </c>
      <c r="D72" s="2">
        <v>77</v>
      </c>
      <c r="E72" s="3">
        <v>0.53200000000000003</v>
      </c>
      <c r="F72" s="3">
        <v>0.105</v>
      </c>
      <c r="G72" s="2">
        <v>130</v>
      </c>
      <c r="H72" s="2">
        <v>189</v>
      </c>
    </row>
    <row r="73" spans="1:8" ht="16" x14ac:dyDescent="0.4">
      <c r="A73" t="s">
        <v>53</v>
      </c>
      <c r="B73" s="3" t="s">
        <v>48</v>
      </c>
      <c r="C73" s="2">
        <v>34</v>
      </c>
      <c r="D73" s="2">
        <v>38</v>
      </c>
      <c r="E73" s="3">
        <v>0.69099999999999995</v>
      </c>
      <c r="F73" s="3">
        <v>1.9300000000000001E-2</v>
      </c>
      <c r="G73" s="2">
        <v>109</v>
      </c>
      <c r="H73" s="2">
        <v>266</v>
      </c>
    </row>
    <row r="74" spans="1:8" ht="16" x14ac:dyDescent="0.4">
      <c r="A74" t="s">
        <v>56</v>
      </c>
      <c r="B74" s="3" t="s">
        <v>67</v>
      </c>
      <c r="C74" s="2">
        <v>1</v>
      </c>
      <c r="D74" s="2">
        <v>33</v>
      </c>
      <c r="E74" s="3">
        <v>0.68799999999999994</v>
      </c>
      <c r="F74" s="3">
        <v>0.83899999999999997</v>
      </c>
      <c r="G74" s="2">
        <v>116</v>
      </c>
      <c r="H74" s="2">
        <v>228</v>
      </c>
    </row>
    <row r="75" spans="1:8" ht="16" x14ac:dyDescent="0.4">
      <c r="A75" t="s">
        <v>53</v>
      </c>
      <c r="B75" s="3" t="s">
        <v>48</v>
      </c>
      <c r="C75" s="2">
        <v>4</v>
      </c>
      <c r="D75" s="2">
        <v>9</v>
      </c>
      <c r="E75" s="3">
        <v>0.64500000000000002</v>
      </c>
      <c r="F75" s="3">
        <v>0.28999999999999998</v>
      </c>
      <c r="G75" s="2">
        <v>105</v>
      </c>
      <c r="H75" s="2">
        <v>205</v>
      </c>
    </row>
    <row r="76" spans="1:8" ht="16" x14ac:dyDescent="0.4">
      <c r="A76" t="s">
        <v>61</v>
      </c>
      <c r="B76" s="3" t="s">
        <v>48</v>
      </c>
      <c r="C76" s="2">
        <v>16</v>
      </c>
      <c r="D76" s="2">
        <v>31</v>
      </c>
      <c r="E76" s="3">
        <v>0.45600000000000002</v>
      </c>
      <c r="F76" s="3">
        <v>0.252</v>
      </c>
      <c r="G76" s="2">
        <v>95</v>
      </c>
      <c r="H76" s="2">
        <v>263</v>
      </c>
    </row>
    <row r="77" spans="1:8" ht="16" x14ac:dyDescent="0.4">
      <c r="A77" t="s">
        <v>47</v>
      </c>
      <c r="B77" s="3" t="s">
        <v>48</v>
      </c>
      <c r="C77" s="2">
        <v>4</v>
      </c>
      <c r="D77" s="2">
        <v>13</v>
      </c>
      <c r="E77" s="3">
        <v>0.80300000000000005</v>
      </c>
      <c r="F77" s="3">
        <v>0.10199999999999999</v>
      </c>
      <c r="G77" s="2">
        <v>105</v>
      </c>
      <c r="H77" s="2">
        <v>217</v>
      </c>
    </row>
    <row r="78" spans="1:8" ht="16" x14ac:dyDescent="0.4">
      <c r="A78" t="s">
        <v>61</v>
      </c>
      <c r="B78" s="3" t="s">
        <v>67</v>
      </c>
      <c r="C78" s="2">
        <v>48</v>
      </c>
      <c r="D78" s="2">
        <v>6</v>
      </c>
      <c r="E78" s="3">
        <v>0.27600000000000002</v>
      </c>
      <c r="F78" s="3">
        <v>0.79500000000000004</v>
      </c>
      <c r="G78" s="2">
        <v>84</v>
      </c>
      <c r="H78" s="2">
        <v>293</v>
      </c>
    </row>
    <row r="79" spans="1:8" ht="16" x14ac:dyDescent="0.4">
      <c r="A79" t="s">
        <v>47</v>
      </c>
      <c r="B79" s="3" t="s">
        <v>48</v>
      </c>
      <c r="C79" s="2">
        <v>1</v>
      </c>
      <c r="D79" s="2">
        <v>62</v>
      </c>
      <c r="E79" s="3">
        <v>0.57699999999999996</v>
      </c>
      <c r="F79" s="3">
        <v>4.9099999999999998E-2</v>
      </c>
      <c r="G79" s="2">
        <v>79</v>
      </c>
      <c r="H79" s="2">
        <v>198</v>
      </c>
    </row>
    <row r="80" spans="1:8" ht="16" x14ac:dyDescent="0.4">
      <c r="A80" t="s">
        <v>47</v>
      </c>
      <c r="B80" s="3" t="s">
        <v>48</v>
      </c>
      <c r="C80" s="2">
        <v>2</v>
      </c>
      <c r="D80" s="2">
        <v>38</v>
      </c>
      <c r="E80" s="3">
        <v>0.376</v>
      </c>
      <c r="F80" s="3">
        <v>0.39700000000000002</v>
      </c>
      <c r="G80" s="2">
        <v>95</v>
      </c>
      <c r="H80" s="2">
        <v>211</v>
      </c>
    </row>
    <row r="81" spans="1:8" ht="16" x14ac:dyDescent="0.4">
      <c r="A81" t="s">
        <v>56</v>
      </c>
      <c r="B81" s="3" t="s">
        <v>48</v>
      </c>
      <c r="C81" s="2">
        <v>6</v>
      </c>
      <c r="D81" s="2">
        <v>51</v>
      </c>
      <c r="E81" s="3">
        <v>0.65200000000000002</v>
      </c>
      <c r="F81" s="3">
        <v>2.0899999999999998E-3</v>
      </c>
      <c r="G81" s="2">
        <v>128</v>
      </c>
      <c r="H81" s="2">
        <v>313</v>
      </c>
    </row>
    <row r="82" spans="1:8" ht="16" x14ac:dyDescent="0.4">
      <c r="A82" t="s">
        <v>56</v>
      </c>
      <c r="B82" s="3" t="s">
        <v>48</v>
      </c>
      <c r="C82" s="2">
        <v>7</v>
      </c>
      <c r="D82" s="2">
        <v>18</v>
      </c>
      <c r="E82" s="3">
        <v>0.41599999999999998</v>
      </c>
      <c r="F82" s="3">
        <v>6.3200000000000006E-2</v>
      </c>
      <c r="G82" s="2">
        <v>128</v>
      </c>
      <c r="H82" s="2">
        <v>258</v>
      </c>
    </row>
    <row r="83" spans="1:8" ht="16" x14ac:dyDescent="0.4">
      <c r="A83" t="s">
        <v>61</v>
      </c>
      <c r="B83" s="3" t="s">
        <v>48</v>
      </c>
      <c r="C83" s="2">
        <v>48</v>
      </c>
      <c r="D83" s="2">
        <v>61</v>
      </c>
      <c r="E83" s="3">
        <v>0.45800000000000002</v>
      </c>
      <c r="F83" s="3">
        <v>0.442</v>
      </c>
      <c r="G83" s="2">
        <v>122</v>
      </c>
      <c r="H83" s="2">
        <v>221</v>
      </c>
    </row>
    <row r="84" spans="1:8" ht="16" x14ac:dyDescent="0.4">
      <c r="A84" t="s">
        <v>66</v>
      </c>
      <c r="B84" s="3" t="s">
        <v>67</v>
      </c>
      <c r="C84" s="2">
        <v>1</v>
      </c>
      <c r="D84" s="2">
        <v>12</v>
      </c>
      <c r="E84" s="3">
        <v>0.66500000000000004</v>
      </c>
      <c r="F84" s="3">
        <v>0.66500000000000004</v>
      </c>
      <c r="G84" s="2">
        <v>78</v>
      </c>
      <c r="H84" s="2">
        <v>185</v>
      </c>
    </row>
    <row r="85" spans="1:8" ht="16" x14ac:dyDescent="0.4">
      <c r="A85" t="s">
        <v>56</v>
      </c>
      <c r="B85" s="3" t="s">
        <v>48</v>
      </c>
      <c r="C85" s="2">
        <v>1</v>
      </c>
      <c r="D85" s="2">
        <v>43</v>
      </c>
      <c r="E85" s="3">
        <v>0.79700000000000004</v>
      </c>
      <c r="F85" s="3">
        <v>7.6999999999999999E-2</v>
      </c>
      <c r="G85" s="2">
        <v>124</v>
      </c>
      <c r="H85" s="2">
        <v>182</v>
      </c>
    </row>
    <row r="86" spans="1:8" ht="16" x14ac:dyDescent="0.4">
      <c r="A86" t="s">
        <v>61</v>
      </c>
      <c r="B86" s="3" t="s">
        <v>48</v>
      </c>
      <c r="C86" s="2">
        <v>14</v>
      </c>
      <c r="D86" s="2">
        <v>54</v>
      </c>
      <c r="E86" s="3">
        <v>0.50900000000000001</v>
      </c>
      <c r="F86" s="3">
        <v>1.89E-3</v>
      </c>
      <c r="G86" s="2">
        <v>117</v>
      </c>
      <c r="H86" s="2">
        <v>265</v>
      </c>
    </row>
    <row r="87" spans="1:8" ht="16" x14ac:dyDescent="0.4">
      <c r="A87" t="s">
        <v>66</v>
      </c>
      <c r="B87" s="3" t="s">
        <v>67</v>
      </c>
      <c r="C87" s="2">
        <v>3</v>
      </c>
      <c r="D87" s="2">
        <v>56</v>
      </c>
      <c r="E87" s="3">
        <v>0.55100000000000005</v>
      </c>
      <c r="F87" s="3">
        <v>0.68100000000000005</v>
      </c>
      <c r="G87" s="2">
        <v>84</v>
      </c>
      <c r="H87" s="2">
        <v>243</v>
      </c>
    </row>
    <row r="88" spans="1:8" ht="16" x14ac:dyDescent="0.4">
      <c r="A88" t="s">
        <v>56</v>
      </c>
      <c r="B88" s="3" t="s">
        <v>48</v>
      </c>
      <c r="C88" s="2">
        <v>1</v>
      </c>
      <c r="D88" s="2">
        <v>12</v>
      </c>
      <c r="E88" s="3">
        <v>0.73899999999999999</v>
      </c>
      <c r="F88" s="3">
        <v>1.4800000000000001E-2</v>
      </c>
      <c r="G88" s="2">
        <v>125</v>
      </c>
      <c r="H88" s="2">
        <v>143</v>
      </c>
    </row>
    <row r="89" spans="1:8" ht="16" x14ac:dyDescent="0.4">
      <c r="A89" t="s">
        <v>47</v>
      </c>
      <c r="B89" s="3" t="s">
        <v>48</v>
      </c>
      <c r="C89" s="2">
        <v>1</v>
      </c>
      <c r="D89" s="2">
        <v>50</v>
      </c>
      <c r="E89" s="3">
        <v>0.54200000000000004</v>
      </c>
      <c r="F89" s="3">
        <v>1.84E-4</v>
      </c>
      <c r="G89" s="2">
        <v>156</v>
      </c>
      <c r="H89" s="2">
        <v>178</v>
      </c>
    </row>
    <row r="90" spans="1:8" ht="16" x14ac:dyDescent="0.4">
      <c r="A90" t="s">
        <v>53</v>
      </c>
      <c r="B90" s="3" t="s">
        <v>48</v>
      </c>
      <c r="C90" s="2">
        <v>15</v>
      </c>
      <c r="D90" s="2">
        <v>43</v>
      </c>
      <c r="E90" s="3">
        <v>0.375</v>
      </c>
      <c r="F90" s="3">
        <v>0.39800000000000002</v>
      </c>
      <c r="G90" s="2">
        <v>112</v>
      </c>
      <c r="H90" s="2">
        <v>271</v>
      </c>
    </row>
    <row r="91" spans="1:8" ht="16" x14ac:dyDescent="0.4">
      <c r="A91" t="s">
        <v>66</v>
      </c>
      <c r="B91" s="3" t="s">
        <v>48</v>
      </c>
      <c r="C91" s="2">
        <v>1</v>
      </c>
      <c r="D91" s="2">
        <v>29</v>
      </c>
      <c r="E91" s="3">
        <v>0.73299999999999998</v>
      </c>
      <c r="F91" s="3">
        <v>4.1000000000000002E-2</v>
      </c>
      <c r="G91" s="2">
        <v>140</v>
      </c>
      <c r="H91" s="2">
        <v>192</v>
      </c>
    </row>
    <row r="92" spans="1:8" ht="16" x14ac:dyDescent="0.4">
      <c r="A92" t="s">
        <v>84</v>
      </c>
      <c r="B92" s="3" t="s">
        <v>48</v>
      </c>
      <c r="C92" s="2">
        <v>12</v>
      </c>
      <c r="D92" s="2">
        <v>55</v>
      </c>
      <c r="E92" s="3">
        <v>0.88700000000000001</v>
      </c>
      <c r="F92" s="3">
        <v>9.3299999999999998E-3</v>
      </c>
      <c r="G92" s="2">
        <v>113</v>
      </c>
      <c r="H92" s="2">
        <v>183</v>
      </c>
    </row>
    <row r="93" spans="1:8" ht="16" x14ac:dyDescent="0.4">
      <c r="A93" t="s">
        <v>53</v>
      </c>
      <c r="B93" s="3" t="s">
        <v>67</v>
      </c>
      <c r="C93" s="2">
        <v>3</v>
      </c>
      <c r="D93" s="2">
        <v>69</v>
      </c>
      <c r="E93" s="3">
        <v>0.57499999999999996</v>
      </c>
      <c r="F93" s="3">
        <v>9.8799999999999999E-2</v>
      </c>
      <c r="G93" s="2">
        <v>96</v>
      </c>
      <c r="H93" s="2">
        <v>204</v>
      </c>
    </row>
    <row r="94" spans="1:8" ht="16" x14ac:dyDescent="0.4">
      <c r="A94" t="s">
        <v>53</v>
      </c>
      <c r="B94" s="3" t="s">
        <v>48</v>
      </c>
      <c r="C94" s="2">
        <v>13</v>
      </c>
      <c r="D94" s="2">
        <v>63</v>
      </c>
      <c r="E94" s="3">
        <v>0.75800000000000001</v>
      </c>
      <c r="F94" s="3">
        <v>5.28E-2</v>
      </c>
      <c r="G94" s="2">
        <v>98</v>
      </c>
      <c r="H94" s="2">
        <v>171</v>
      </c>
    </row>
    <row r="95" spans="1:8" ht="16" x14ac:dyDescent="0.4">
      <c r="A95" t="s">
        <v>61</v>
      </c>
      <c r="B95" s="3" t="s">
        <v>48</v>
      </c>
      <c r="C95" s="2">
        <v>38</v>
      </c>
      <c r="D95" s="2">
        <v>60</v>
      </c>
      <c r="E95" s="3">
        <v>0.73899999999999999</v>
      </c>
      <c r="F95" s="3">
        <v>0.112</v>
      </c>
      <c r="G95" s="2">
        <v>121</v>
      </c>
      <c r="H95" s="2">
        <v>209</v>
      </c>
    </row>
    <row r="96" spans="1:8" ht="16" x14ac:dyDescent="0.4">
      <c r="A96" t="s">
        <v>61</v>
      </c>
      <c r="B96" s="3" t="s">
        <v>67</v>
      </c>
      <c r="C96" s="2">
        <v>8</v>
      </c>
      <c r="D96" s="2">
        <v>21</v>
      </c>
      <c r="E96" s="3">
        <v>0.39700000000000002</v>
      </c>
      <c r="F96" s="3">
        <v>0.218</v>
      </c>
      <c r="G96" s="2">
        <v>162</v>
      </c>
      <c r="H96" s="2">
        <v>348</v>
      </c>
    </row>
    <row r="97" spans="1:8" ht="16" x14ac:dyDescent="0.4">
      <c r="A97" t="s">
        <v>56</v>
      </c>
      <c r="B97" s="3" t="s">
        <v>48</v>
      </c>
      <c r="C97" s="2">
        <v>1</v>
      </c>
      <c r="D97" s="2">
        <v>31</v>
      </c>
      <c r="E97" s="3">
        <v>0.78600000000000003</v>
      </c>
      <c r="F97" s="3">
        <v>7.2400000000000006E-2</v>
      </c>
      <c r="G97" s="2">
        <v>128</v>
      </c>
      <c r="H97" s="2">
        <v>158</v>
      </c>
    </row>
    <row r="98" spans="1:8" ht="16" x14ac:dyDescent="0.4">
      <c r="A98" t="s">
        <v>61</v>
      </c>
      <c r="B98" s="3" t="s">
        <v>48</v>
      </c>
      <c r="C98" s="2">
        <v>42</v>
      </c>
      <c r="D98" s="2">
        <v>45</v>
      </c>
      <c r="E98" s="3">
        <v>0.51700000000000002</v>
      </c>
      <c r="F98" s="3">
        <v>0.115</v>
      </c>
      <c r="G98" s="2">
        <v>151</v>
      </c>
      <c r="H98" s="2">
        <v>221</v>
      </c>
    </row>
    <row r="99" spans="1:8" ht="16" x14ac:dyDescent="0.4">
      <c r="A99" t="s">
        <v>61</v>
      </c>
      <c r="B99" s="3" t="s">
        <v>48</v>
      </c>
      <c r="C99" s="2">
        <v>33</v>
      </c>
      <c r="D99" s="2">
        <v>42</v>
      </c>
      <c r="E99" s="3">
        <v>0.56499999999999995</v>
      </c>
      <c r="F99" s="3">
        <v>4.41E-2</v>
      </c>
      <c r="G99" s="2">
        <v>112</v>
      </c>
      <c r="H99" s="2">
        <v>233</v>
      </c>
    </row>
    <row r="100" spans="1:8" ht="16" x14ac:dyDescent="0.4">
      <c r="A100" t="s">
        <v>47</v>
      </c>
      <c r="B100" s="3" t="s">
        <v>67</v>
      </c>
      <c r="C100" s="2">
        <v>2</v>
      </c>
      <c r="D100" s="2">
        <v>78</v>
      </c>
      <c r="E100" s="3">
        <v>0.90600000000000003</v>
      </c>
      <c r="F100" s="3">
        <v>0.18</v>
      </c>
      <c r="G100" s="2">
        <v>104</v>
      </c>
      <c r="H100" s="2">
        <v>129</v>
      </c>
    </row>
    <row r="101" spans="1:8" ht="16" x14ac:dyDescent="0.4">
      <c r="A101" t="s">
        <v>84</v>
      </c>
      <c r="B101" s="3" t="s">
        <v>48</v>
      </c>
      <c r="C101" s="2">
        <v>1</v>
      </c>
      <c r="D101" s="2">
        <v>55</v>
      </c>
      <c r="E101" s="3">
        <v>0.59799999999999998</v>
      </c>
      <c r="F101" s="3">
        <v>6.5500000000000003E-2</v>
      </c>
      <c r="G101" s="2">
        <v>114</v>
      </c>
      <c r="H101" s="2">
        <v>230</v>
      </c>
    </row>
    <row r="102" spans="1:8" ht="16" x14ac:dyDescent="0.4">
      <c r="A102" t="s">
        <v>47</v>
      </c>
      <c r="B102" s="3" t="s">
        <v>48</v>
      </c>
      <c r="C102" s="2">
        <v>5</v>
      </c>
      <c r="D102" s="2">
        <v>19</v>
      </c>
      <c r="E102" s="3">
        <v>0.63900000000000001</v>
      </c>
      <c r="F102" s="3">
        <v>6.3200000000000006E-2</v>
      </c>
      <c r="G102" s="2">
        <v>123</v>
      </c>
      <c r="H102" s="2">
        <v>235</v>
      </c>
    </row>
    <row r="103" spans="1:8" ht="16" x14ac:dyDescent="0.4">
      <c r="A103" t="s">
        <v>56</v>
      </c>
      <c r="B103" s="3" t="s">
        <v>48</v>
      </c>
      <c r="C103" s="2">
        <v>1</v>
      </c>
      <c r="D103" s="2">
        <v>8</v>
      </c>
      <c r="E103" s="3">
        <v>0.80100000000000005</v>
      </c>
      <c r="F103" s="3">
        <v>9.2600000000000001E-5</v>
      </c>
      <c r="G103" s="2">
        <v>120</v>
      </c>
      <c r="H103" s="2">
        <v>260</v>
      </c>
    </row>
    <row r="104" spans="1:8" ht="16" x14ac:dyDescent="0.4">
      <c r="A104" t="s">
        <v>61</v>
      </c>
      <c r="B104" s="3" t="s">
        <v>48</v>
      </c>
      <c r="C104" s="2">
        <v>43</v>
      </c>
      <c r="D104" s="2">
        <v>57</v>
      </c>
      <c r="E104" s="3">
        <v>0.65100000000000002</v>
      </c>
      <c r="F104" s="3">
        <v>0.16700000000000001</v>
      </c>
      <c r="G104" s="2">
        <v>97</v>
      </c>
      <c r="H104" s="2">
        <v>226</v>
      </c>
    </row>
    <row r="105" spans="1:8" ht="16" x14ac:dyDescent="0.4">
      <c r="A105" t="s">
        <v>53</v>
      </c>
      <c r="B105" s="3" t="s">
        <v>67</v>
      </c>
      <c r="C105" s="2">
        <v>2</v>
      </c>
      <c r="D105" s="2">
        <v>50</v>
      </c>
      <c r="E105" s="3">
        <v>0.748</v>
      </c>
      <c r="F105" s="3">
        <v>0.21099999999999999</v>
      </c>
      <c r="G105" s="2">
        <v>80</v>
      </c>
      <c r="H105" s="2">
        <v>158</v>
      </c>
    </row>
    <row r="106" spans="1:8" ht="16" x14ac:dyDescent="0.4">
      <c r="A106" t="s">
        <v>53</v>
      </c>
      <c r="B106" s="3" t="s">
        <v>67</v>
      </c>
      <c r="C106" s="2">
        <v>1</v>
      </c>
      <c r="D106" s="2">
        <v>43</v>
      </c>
      <c r="E106" s="3">
        <v>0.77100000000000002</v>
      </c>
      <c r="F106" s="3">
        <v>0.26</v>
      </c>
      <c r="G106" s="2">
        <v>170</v>
      </c>
      <c r="H106" s="2">
        <v>242</v>
      </c>
    </row>
    <row r="107" spans="1:8" ht="16" x14ac:dyDescent="0.4">
      <c r="A107" t="s">
        <v>66</v>
      </c>
      <c r="B107" s="3" t="s">
        <v>48</v>
      </c>
      <c r="C107" s="2">
        <v>6</v>
      </c>
      <c r="D107" s="2">
        <v>26</v>
      </c>
      <c r="E107" s="3">
        <v>0.41499999999999998</v>
      </c>
      <c r="F107" s="3">
        <v>8.3600000000000005E-4</v>
      </c>
      <c r="G107" s="2">
        <v>136</v>
      </c>
      <c r="H107" s="2">
        <v>256</v>
      </c>
    </row>
    <row r="108" spans="1:8" ht="16" x14ac:dyDescent="0.4">
      <c r="A108" t="s">
        <v>66</v>
      </c>
      <c r="B108" s="3" t="s">
        <v>48</v>
      </c>
      <c r="C108" s="2">
        <v>33</v>
      </c>
      <c r="D108" s="2">
        <v>49</v>
      </c>
      <c r="E108" s="3">
        <v>0.54300000000000004</v>
      </c>
      <c r="F108" s="3">
        <v>2.5899999999999999E-2</v>
      </c>
      <c r="G108" s="2">
        <v>170</v>
      </c>
      <c r="H108" s="2">
        <v>258</v>
      </c>
    </row>
    <row r="109" spans="1:8" ht="16" x14ac:dyDescent="0.4">
      <c r="A109" t="s">
        <v>61</v>
      </c>
      <c r="B109" s="3" t="s">
        <v>67</v>
      </c>
      <c r="C109" s="2">
        <v>53</v>
      </c>
      <c r="D109" s="2">
        <v>11</v>
      </c>
      <c r="E109" s="3">
        <v>0.505</v>
      </c>
      <c r="F109" s="3">
        <v>8.9700000000000002E-2</v>
      </c>
      <c r="G109" s="2">
        <v>106</v>
      </c>
      <c r="H109" s="2">
        <v>176</v>
      </c>
    </row>
    <row r="110" spans="1:8" ht="16" x14ac:dyDescent="0.4">
      <c r="A110" t="s">
        <v>61</v>
      </c>
      <c r="B110" s="3" t="s">
        <v>67</v>
      </c>
      <c r="C110" s="2">
        <v>24</v>
      </c>
      <c r="D110" s="2">
        <v>38</v>
      </c>
      <c r="E110" s="3">
        <v>0.39400000000000002</v>
      </c>
      <c r="F110" s="3">
        <v>0.33900000000000002</v>
      </c>
      <c r="G110" s="2">
        <v>178</v>
      </c>
      <c r="H110" s="2">
        <v>384</v>
      </c>
    </row>
    <row r="111" spans="1:8" ht="16" x14ac:dyDescent="0.4">
      <c r="A111" t="s">
        <v>56</v>
      </c>
      <c r="B111" s="3" t="s">
        <v>48</v>
      </c>
      <c r="C111" s="2">
        <v>5</v>
      </c>
      <c r="D111" s="2">
        <v>6</v>
      </c>
      <c r="E111" s="3">
        <v>0.5</v>
      </c>
      <c r="F111" s="3">
        <v>3.6200000000000003E-2</v>
      </c>
      <c r="G111" s="2">
        <v>126</v>
      </c>
      <c r="H111" s="2">
        <v>210</v>
      </c>
    </row>
    <row r="112" spans="1:8" ht="16" x14ac:dyDescent="0.4">
      <c r="A112" t="s">
        <v>66</v>
      </c>
      <c r="B112" s="3" t="s">
        <v>48</v>
      </c>
      <c r="C112" s="2">
        <v>17</v>
      </c>
      <c r="D112" s="2">
        <v>27</v>
      </c>
      <c r="E112" s="3">
        <v>0.752</v>
      </c>
      <c r="F112" s="3">
        <v>2.2800000000000001E-2</v>
      </c>
      <c r="G112" s="2">
        <v>106</v>
      </c>
      <c r="H112" s="2">
        <v>245</v>
      </c>
    </row>
    <row r="113" spans="1:8" ht="16" x14ac:dyDescent="0.4">
      <c r="A113" t="s">
        <v>47</v>
      </c>
      <c r="B113" s="3" t="s">
        <v>48</v>
      </c>
      <c r="C113" s="2">
        <v>13</v>
      </c>
      <c r="D113" s="2">
        <v>72</v>
      </c>
      <c r="E113" s="3">
        <v>0.44700000000000001</v>
      </c>
      <c r="F113" s="3">
        <v>2.93E-2</v>
      </c>
      <c r="G113" s="2">
        <v>176</v>
      </c>
      <c r="H113" s="2">
        <v>228</v>
      </c>
    </row>
    <row r="114" spans="1:8" ht="16" x14ac:dyDescent="0.4">
      <c r="A114" t="s">
        <v>61</v>
      </c>
      <c r="B114" s="3" t="s">
        <v>48</v>
      </c>
      <c r="C114" s="2">
        <v>40</v>
      </c>
      <c r="D114" s="2">
        <v>53</v>
      </c>
      <c r="E114" s="3">
        <v>0.63300000000000001</v>
      </c>
      <c r="F114" s="3">
        <v>0.34</v>
      </c>
      <c r="G114" s="2">
        <v>81</v>
      </c>
      <c r="H114" s="2">
        <v>355</v>
      </c>
    </row>
    <row r="115" spans="1:8" ht="16" x14ac:dyDescent="0.4">
      <c r="A115" t="s">
        <v>47</v>
      </c>
      <c r="B115" s="3" t="s">
        <v>48</v>
      </c>
      <c r="C115" s="2">
        <v>1</v>
      </c>
      <c r="D115" s="2">
        <v>81</v>
      </c>
      <c r="E115" s="3">
        <v>0.56100000000000005</v>
      </c>
      <c r="F115" s="3">
        <v>0.106</v>
      </c>
      <c r="G115" s="2">
        <v>160</v>
      </c>
      <c r="H115" s="2">
        <v>219</v>
      </c>
    </row>
    <row r="116" spans="1:8" ht="16" x14ac:dyDescent="0.4">
      <c r="A116" t="s">
        <v>56</v>
      </c>
      <c r="B116" s="3" t="s">
        <v>48</v>
      </c>
      <c r="C116" s="2">
        <v>1</v>
      </c>
      <c r="D116" s="2">
        <v>50</v>
      </c>
      <c r="E116" s="3">
        <v>0.44800000000000001</v>
      </c>
      <c r="F116" s="3">
        <v>1.72E-3</v>
      </c>
      <c r="G116" s="2">
        <v>128</v>
      </c>
      <c r="H116" s="2">
        <v>218</v>
      </c>
    </row>
    <row r="117" spans="1:8" ht="16" x14ac:dyDescent="0.4">
      <c r="A117" t="s">
        <v>66</v>
      </c>
      <c r="B117" s="3" t="s">
        <v>48</v>
      </c>
      <c r="C117" s="2">
        <v>6</v>
      </c>
      <c r="D117" s="2">
        <v>52</v>
      </c>
      <c r="E117" s="3">
        <v>0.83</v>
      </c>
      <c r="F117" s="3">
        <v>0.188</v>
      </c>
      <c r="G117" s="2">
        <v>90</v>
      </c>
      <c r="H117" s="2">
        <v>215</v>
      </c>
    </row>
    <row r="118" spans="1:8" ht="16" x14ac:dyDescent="0.4">
      <c r="A118" t="s">
        <v>84</v>
      </c>
      <c r="B118" s="3" t="s">
        <v>48</v>
      </c>
      <c r="C118" s="2">
        <v>2</v>
      </c>
      <c r="D118" s="2">
        <v>44</v>
      </c>
      <c r="E118" s="3">
        <v>0.46800000000000003</v>
      </c>
      <c r="F118" s="3">
        <v>0.21</v>
      </c>
      <c r="G118" s="2">
        <v>133</v>
      </c>
      <c r="H118" s="2">
        <v>168</v>
      </c>
    </row>
    <row r="119" spans="1:8" ht="16" x14ac:dyDescent="0.4">
      <c r="A119" t="s">
        <v>56</v>
      </c>
      <c r="B119" s="3" t="s">
        <v>48</v>
      </c>
      <c r="C119" s="2">
        <v>6</v>
      </c>
      <c r="D119" s="2">
        <v>34</v>
      </c>
      <c r="E119" s="3">
        <v>0.53600000000000003</v>
      </c>
      <c r="F119" s="3">
        <v>1.6899999999999999E-4</v>
      </c>
      <c r="G119" s="2">
        <v>128</v>
      </c>
      <c r="H119" s="2">
        <v>306</v>
      </c>
    </row>
    <row r="120" spans="1:8" ht="16" x14ac:dyDescent="0.4">
      <c r="A120" t="s">
        <v>61</v>
      </c>
      <c r="B120" s="3" t="s">
        <v>48</v>
      </c>
      <c r="C120" s="2">
        <v>16</v>
      </c>
      <c r="D120" s="2">
        <v>68</v>
      </c>
      <c r="E120" s="3">
        <v>0.42099999999999999</v>
      </c>
      <c r="F120" s="3">
        <v>1.34E-2</v>
      </c>
      <c r="G120" s="2">
        <v>173</v>
      </c>
      <c r="H120" s="2">
        <v>207</v>
      </c>
    </row>
    <row r="121" spans="1:8" ht="16" x14ac:dyDescent="0.4">
      <c r="A121" t="s">
        <v>47</v>
      </c>
      <c r="B121" s="3" t="s">
        <v>48</v>
      </c>
      <c r="C121" s="2">
        <v>2</v>
      </c>
      <c r="D121" s="2">
        <v>43</v>
      </c>
      <c r="E121" s="3">
        <v>0.72199999999999998</v>
      </c>
      <c r="F121" s="3">
        <v>6.6199999999999995E-2</v>
      </c>
      <c r="G121" s="2">
        <v>110</v>
      </c>
      <c r="H121" s="2">
        <v>195</v>
      </c>
    </row>
    <row r="122" spans="1:8" ht="16" x14ac:dyDescent="0.4">
      <c r="A122" t="s">
        <v>56</v>
      </c>
      <c r="B122" s="3" t="s">
        <v>48</v>
      </c>
      <c r="C122" s="2">
        <v>1</v>
      </c>
      <c r="D122" s="2">
        <v>77</v>
      </c>
      <c r="E122" s="3">
        <v>0.36</v>
      </c>
      <c r="F122" s="3">
        <v>1.7100000000000001E-2</v>
      </c>
      <c r="G122" s="2">
        <v>107</v>
      </c>
      <c r="H122" s="2">
        <v>186</v>
      </c>
    </row>
    <row r="123" spans="1:8" ht="16" x14ac:dyDescent="0.4">
      <c r="A123" t="s">
        <v>66</v>
      </c>
      <c r="B123" s="3" t="s">
        <v>67</v>
      </c>
      <c r="C123" s="2">
        <v>18</v>
      </c>
      <c r="D123" s="2">
        <v>46</v>
      </c>
      <c r="E123" s="3">
        <v>0.69099999999999995</v>
      </c>
      <c r="F123" s="3">
        <v>0.28399999999999997</v>
      </c>
      <c r="G123" s="2">
        <v>96</v>
      </c>
      <c r="H123" s="2">
        <v>210</v>
      </c>
    </row>
    <row r="124" spans="1:8" ht="16" x14ac:dyDescent="0.4">
      <c r="A124" t="s">
        <v>84</v>
      </c>
      <c r="B124" s="3" t="s">
        <v>67</v>
      </c>
      <c r="C124" s="2">
        <v>1</v>
      </c>
      <c r="D124" s="2">
        <v>56</v>
      </c>
      <c r="E124" s="3">
        <v>0.77500000000000002</v>
      </c>
      <c r="F124" s="3">
        <v>0.35499999999999998</v>
      </c>
      <c r="G124" s="2">
        <v>128</v>
      </c>
      <c r="H124" s="2">
        <v>169</v>
      </c>
    </row>
    <row r="125" spans="1:8" ht="16" x14ac:dyDescent="0.4">
      <c r="A125" t="s">
        <v>56</v>
      </c>
      <c r="B125" s="3" t="s">
        <v>48</v>
      </c>
      <c r="C125" s="2">
        <v>3</v>
      </c>
      <c r="D125" s="2">
        <v>12</v>
      </c>
      <c r="E125" s="3">
        <v>0.41399999999999998</v>
      </c>
      <c r="F125" s="3">
        <v>1.1599999999999999E-2</v>
      </c>
      <c r="G125" s="2">
        <v>117</v>
      </c>
      <c r="H125" s="2">
        <v>195</v>
      </c>
    </row>
    <row r="126" spans="1:8" ht="16" x14ac:dyDescent="0.4">
      <c r="A126" t="s">
        <v>84</v>
      </c>
      <c r="B126" s="3" t="s">
        <v>48</v>
      </c>
      <c r="C126" s="2">
        <v>17</v>
      </c>
      <c r="D126" s="2">
        <v>44</v>
      </c>
      <c r="E126" s="3">
        <v>0.81899999999999995</v>
      </c>
      <c r="F126" s="3">
        <v>1.66E-3</v>
      </c>
      <c r="G126" s="2">
        <v>78</v>
      </c>
      <c r="H126" s="2">
        <v>237</v>
      </c>
    </row>
    <row r="127" spans="1:8" ht="16" x14ac:dyDescent="0.4">
      <c r="A127" t="s">
        <v>84</v>
      </c>
      <c r="B127" s="3" t="s">
        <v>48</v>
      </c>
      <c r="C127" s="2">
        <v>21</v>
      </c>
      <c r="D127" s="2">
        <v>18</v>
      </c>
      <c r="E127" s="3">
        <v>0.81399999999999995</v>
      </c>
      <c r="F127" s="3">
        <v>0.17499999999999999</v>
      </c>
      <c r="G127" s="2">
        <v>93</v>
      </c>
      <c r="H127" s="2">
        <v>268</v>
      </c>
    </row>
    <row r="128" spans="1:8" ht="16" x14ac:dyDescent="0.4">
      <c r="A128" t="s">
        <v>56</v>
      </c>
      <c r="B128" s="3" t="s">
        <v>48</v>
      </c>
      <c r="C128" s="2">
        <v>1</v>
      </c>
      <c r="D128" s="2">
        <v>23</v>
      </c>
      <c r="E128" s="3">
        <v>0.71199999999999997</v>
      </c>
      <c r="F128" s="3">
        <v>1.2200000000000001E-2</v>
      </c>
      <c r="G128" s="2">
        <v>105</v>
      </c>
      <c r="H128" s="2">
        <v>202</v>
      </c>
    </row>
    <row r="129" spans="1:8" ht="16" x14ac:dyDescent="0.4">
      <c r="A129" t="s">
        <v>56</v>
      </c>
      <c r="B129" s="3" t="s">
        <v>48</v>
      </c>
      <c r="C129" s="2">
        <v>3</v>
      </c>
      <c r="D129" s="2">
        <v>50</v>
      </c>
      <c r="E129" s="3">
        <v>0.64200000000000002</v>
      </c>
      <c r="F129" s="3">
        <v>2.6100000000000002E-2</v>
      </c>
      <c r="G129" s="2">
        <v>96</v>
      </c>
      <c r="H129" s="2">
        <v>215</v>
      </c>
    </row>
    <row r="130" spans="1:8" ht="16" x14ac:dyDescent="0.4">
      <c r="A130" t="s">
        <v>53</v>
      </c>
      <c r="B130" s="3" t="s">
        <v>48</v>
      </c>
      <c r="C130" s="2">
        <v>2</v>
      </c>
      <c r="D130" s="2">
        <v>8</v>
      </c>
      <c r="E130" s="3">
        <v>0.755</v>
      </c>
      <c r="F130" s="3">
        <v>5.0299999999999997E-3</v>
      </c>
      <c r="G130" s="2">
        <v>123</v>
      </c>
      <c r="H130" s="2">
        <v>315</v>
      </c>
    </row>
    <row r="131" spans="1:8" ht="16" x14ac:dyDescent="0.4">
      <c r="A131" t="s">
        <v>56</v>
      </c>
      <c r="B131" s="3" t="s">
        <v>48</v>
      </c>
      <c r="C131" s="2">
        <v>1</v>
      </c>
      <c r="D131" s="2">
        <v>39</v>
      </c>
      <c r="E131" s="3">
        <v>0.71299999999999997</v>
      </c>
      <c r="F131" s="3">
        <v>3.7599999999999999E-3</v>
      </c>
      <c r="G131" s="2">
        <v>127</v>
      </c>
      <c r="H131" s="2">
        <v>189</v>
      </c>
    </row>
    <row r="132" spans="1:8" ht="16" x14ac:dyDescent="0.4">
      <c r="A132" t="s">
        <v>47</v>
      </c>
      <c r="B132" s="3" t="s">
        <v>48</v>
      </c>
      <c r="C132" s="2">
        <v>10</v>
      </c>
      <c r="D132" s="2">
        <v>54</v>
      </c>
      <c r="E132" s="3">
        <v>0.68100000000000005</v>
      </c>
      <c r="F132" s="3">
        <v>3.3400000000000001E-3</v>
      </c>
      <c r="G132" s="2">
        <v>118</v>
      </c>
      <c r="H132" s="2">
        <v>316</v>
      </c>
    </row>
    <row r="133" spans="1:8" ht="16" x14ac:dyDescent="0.4">
      <c r="A133" t="s">
        <v>47</v>
      </c>
      <c r="B133" s="3" t="s">
        <v>48</v>
      </c>
      <c r="C133" s="2">
        <v>3</v>
      </c>
      <c r="D133" s="2">
        <v>76</v>
      </c>
      <c r="E133" s="3">
        <v>0.69599999999999995</v>
      </c>
      <c r="F133" s="3">
        <v>7.4999999999999997E-2</v>
      </c>
      <c r="G133" s="2">
        <v>98</v>
      </c>
      <c r="H133" s="2">
        <v>216</v>
      </c>
    </row>
    <row r="134" spans="1:8" ht="16" x14ac:dyDescent="0.4">
      <c r="A134" t="s">
        <v>61</v>
      </c>
      <c r="B134" s="3" t="s">
        <v>48</v>
      </c>
      <c r="C134" s="2">
        <v>26</v>
      </c>
      <c r="D134" s="2">
        <v>50</v>
      </c>
      <c r="E134" s="3">
        <v>0.40899999999999997</v>
      </c>
      <c r="F134" s="3">
        <v>4.28E-3</v>
      </c>
      <c r="G134" s="2">
        <v>174</v>
      </c>
      <c r="H134" s="2">
        <v>224</v>
      </c>
    </row>
    <row r="135" spans="1:8" ht="16" x14ac:dyDescent="0.4">
      <c r="A135" t="s">
        <v>61</v>
      </c>
      <c r="B135" s="3" t="s">
        <v>67</v>
      </c>
      <c r="C135" s="2">
        <v>6</v>
      </c>
      <c r="D135" s="2">
        <v>44</v>
      </c>
      <c r="E135" s="3">
        <v>0.56899999999999995</v>
      </c>
      <c r="F135" s="3">
        <v>0.16600000000000001</v>
      </c>
      <c r="G135" s="2">
        <v>105</v>
      </c>
      <c r="H135" s="2">
        <v>227</v>
      </c>
    </row>
    <row r="136" spans="1:8" ht="16" x14ac:dyDescent="0.4">
      <c r="A136" t="s">
        <v>47</v>
      </c>
      <c r="B136" s="3" t="s">
        <v>67</v>
      </c>
      <c r="C136" s="2">
        <v>8</v>
      </c>
      <c r="D136" s="2">
        <v>65</v>
      </c>
      <c r="E136" s="3">
        <v>0.70099999999999996</v>
      </c>
      <c r="F136" s="3">
        <v>8.8800000000000004E-2</v>
      </c>
      <c r="G136" s="2">
        <v>95</v>
      </c>
      <c r="H136" s="2">
        <v>195</v>
      </c>
    </row>
    <row r="137" spans="1:8" ht="16" x14ac:dyDescent="0.4">
      <c r="A137" t="s">
        <v>47</v>
      </c>
      <c r="B137" s="3" t="s">
        <v>48</v>
      </c>
      <c r="C137" s="2">
        <v>9</v>
      </c>
      <c r="D137" s="2">
        <v>55</v>
      </c>
      <c r="E137" s="3">
        <v>0.56999999999999995</v>
      </c>
      <c r="F137" s="3">
        <v>1.04E-2</v>
      </c>
      <c r="G137" s="2">
        <v>115</v>
      </c>
      <c r="H137" s="2">
        <v>215</v>
      </c>
    </row>
    <row r="138" spans="1:8" ht="16" x14ac:dyDescent="0.4">
      <c r="A138" t="s">
        <v>56</v>
      </c>
      <c r="B138" s="3" t="s">
        <v>48</v>
      </c>
      <c r="C138" s="2">
        <v>7</v>
      </c>
      <c r="D138" s="2">
        <v>39</v>
      </c>
      <c r="E138" s="3">
        <v>0.77400000000000002</v>
      </c>
      <c r="F138" s="3">
        <v>1.15E-2</v>
      </c>
      <c r="G138" s="2">
        <v>128</v>
      </c>
      <c r="H138" s="2">
        <v>182</v>
      </c>
    </row>
    <row r="139" spans="1:8" ht="16" x14ac:dyDescent="0.4">
      <c r="A139" t="s">
        <v>66</v>
      </c>
      <c r="B139" s="3" t="s">
        <v>48</v>
      </c>
      <c r="C139" s="2">
        <v>5</v>
      </c>
      <c r="D139" s="2">
        <v>52</v>
      </c>
      <c r="E139" s="3">
        <v>0.77700000000000002</v>
      </c>
      <c r="F139" s="3">
        <v>0.17699999999999999</v>
      </c>
      <c r="G139" s="2">
        <v>128</v>
      </c>
      <c r="H139" s="2">
        <v>189</v>
      </c>
    </row>
    <row r="140" spans="1:8" ht="16" x14ac:dyDescent="0.4">
      <c r="A140" t="s">
        <v>56</v>
      </c>
      <c r="B140" s="3" t="s">
        <v>48</v>
      </c>
      <c r="C140" s="2">
        <v>1</v>
      </c>
      <c r="D140" s="2">
        <v>69</v>
      </c>
      <c r="E140" s="3">
        <v>0.82</v>
      </c>
      <c r="F140" s="3">
        <v>8.5800000000000001E-2</v>
      </c>
      <c r="G140" s="2">
        <v>120</v>
      </c>
      <c r="H140" s="2">
        <v>202</v>
      </c>
    </row>
    <row r="141" spans="1:8" ht="16" x14ac:dyDescent="0.4">
      <c r="A141" t="s">
        <v>61</v>
      </c>
      <c r="B141" s="3" t="s">
        <v>48</v>
      </c>
      <c r="C141" s="2">
        <v>19</v>
      </c>
      <c r="D141" s="2">
        <v>51</v>
      </c>
      <c r="E141" s="3">
        <v>0.44700000000000001</v>
      </c>
      <c r="F141" s="3">
        <v>4.8300000000000003E-2</v>
      </c>
      <c r="G141" s="2">
        <v>133</v>
      </c>
      <c r="H141" s="2">
        <v>319</v>
      </c>
    </row>
    <row r="142" spans="1:8" ht="16" x14ac:dyDescent="0.4">
      <c r="A142" t="s">
        <v>56</v>
      </c>
      <c r="B142" s="3" t="s">
        <v>48</v>
      </c>
      <c r="C142" s="2">
        <v>8</v>
      </c>
      <c r="D142" s="2">
        <v>47</v>
      </c>
      <c r="E142" s="3">
        <v>0.88700000000000001</v>
      </c>
      <c r="F142" s="3">
        <v>1.3300000000000001E-4</v>
      </c>
      <c r="G142" s="2">
        <v>127</v>
      </c>
      <c r="H142" s="2">
        <v>194</v>
      </c>
    </row>
    <row r="143" spans="1:8" ht="16" x14ac:dyDescent="0.4">
      <c r="A143" t="s">
        <v>66</v>
      </c>
      <c r="B143" s="3" t="s">
        <v>48</v>
      </c>
      <c r="C143" s="2">
        <v>3</v>
      </c>
      <c r="D143" s="2">
        <v>64</v>
      </c>
      <c r="E143" s="3">
        <v>0.73399999999999999</v>
      </c>
      <c r="F143" s="3">
        <v>7.5999999999999998E-2</v>
      </c>
      <c r="G143" s="2">
        <v>99</v>
      </c>
      <c r="H143" s="2">
        <v>236</v>
      </c>
    </row>
    <row r="144" spans="1:8" ht="16" x14ac:dyDescent="0.4">
      <c r="A144" t="s">
        <v>66</v>
      </c>
      <c r="B144" s="3" t="s">
        <v>48</v>
      </c>
      <c r="C144" s="2">
        <v>15</v>
      </c>
      <c r="D144" s="2">
        <v>27</v>
      </c>
      <c r="E144" s="3">
        <v>0.60899999999999999</v>
      </c>
      <c r="F144" s="3">
        <v>2.3300000000000001E-2</v>
      </c>
      <c r="G144" s="2">
        <v>128</v>
      </c>
      <c r="H144" s="2">
        <v>256</v>
      </c>
    </row>
    <row r="145" spans="1:8" ht="16" x14ac:dyDescent="0.4">
      <c r="A145" t="s">
        <v>47</v>
      </c>
      <c r="B145" s="3" t="s">
        <v>48</v>
      </c>
      <c r="C145" s="2">
        <v>1</v>
      </c>
      <c r="D145" s="2">
        <v>57</v>
      </c>
      <c r="E145" s="3">
        <v>0.53100000000000003</v>
      </c>
      <c r="F145" s="3">
        <v>2.4299999999999999E-2</v>
      </c>
      <c r="G145" s="2">
        <v>145</v>
      </c>
      <c r="H145" s="2">
        <v>202</v>
      </c>
    </row>
    <row r="146" spans="1:8" ht="16" x14ac:dyDescent="0.4">
      <c r="A146" t="s">
        <v>84</v>
      </c>
      <c r="B146" s="3" t="s">
        <v>48</v>
      </c>
      <c r="C146" s="2">
        <v>8</v>
      </c>
      <c r="D146" s="2">
        <v>25</v>
      </c>
      <c r="E146" s="3">
        <v>0.67500000000000004</v>
      </c>
      <c r="F146" s="3">
        <v>0.14699999999999999</v>
      </c>
      <c r="G146" s="2">
        <v>90</v>
      </c>
      <c r="H146" s="2">
        <v>130</v>
      </c>
    </row>
    <row r="147" spans="1:8" ht="16" x14ac:dyDescent="0.4">
      <c r="A147" t="s">
        <v>84</v>
      </c>
      <c r="B147" s="3" t="s">
        <v>48</v>
      </c>
      <c r="C147" s="2">
        <v>13</v>
      </c>
      <c r="D147" s="2">
        <v>65</v>
      </c>
      <c r="E147" s="3">
        <v>0.84</v>
      </c>
      <c r="F147" s="3">
        <v>0.16</v>
      </c>
      <c r="G147" s="2">
        <v>117</v>
      </c>
      <c r="H147" s="2">
        <v>188</v>
      </c>
    </row>
    <row r="148" spans="1:8" ht="16" x14ac:dyDescent="0.4">
      <c r="A148" t="s">
        <v>61</v>
      </c>
      <c r="B148" s="3" t="s">
        <v>48</v>
      </c>
      <c r="C148" s="2">
        <v>35</v>
      </c>
      <c r="D148" s="2">
        <v>62</v>
      </c>
      <c r="E148" s="3">
        <v>0.34100000000000003</v>
      </c>
      <c r="F148" s="3">
        <v>8.0199999999999998E-5</v>
      </c>
      <c r="G148" s="2">
        <v>121</v>
      </c>
      <c r="H148" s="2">
        <v>182</v>
      </c>
    </row>
    <row r="149" spans="1:8" ht="16" x14ac:dyDescent="0.4">
      <c r="A149" t="s">
        <v>84</v>
      </c>
      <c r="B149" s="3" t="s">
        <v>48</v>
      </c>
      <c r="C149" s="2">
        <v>28</v>
      </c>
      <c r="D149" s="2">
        <v>24</v>
      </c>
      <c r="E149" s="3">
        <v>0.80500000000000005</v>
      </c>
      <c r="F149" s="3">
        <v>3.2500000000000001E-2</v>
      </c>
      <c r="G149" s="2">
        <v>95</v>
      </c>
      <c r="H149" s="2">
        <v>334</v>
      </c>
    </row>
    <row r="150" spans="1:8" ht="16" x14ac:dyDescent="0.4">
      <c r="A150" t="s">
        <v>66</v>
      </c>
      <c r="B150" s="3" t="s">
        <v>67</v>
      </c>
      <c r="C150" s="2">
        <v>13</v>
      </c>
      <c r="D150" s="2">
        <v>48</v>
      </c>
      <c r="E150" s="3">
        <v>0.82199999999999995</v>
      </c>
      <c r="F150" s="3">
        <v>6.1499999999999999E-2</v>
      </c>
      <c r="G150" s="2">
        <v>103</v>
      </c>
      <c r="H150" s="2">
        <v>241</v>
      </c>
    </row>
  </sheetData>
  <autoFilter ref="A1:H150" xr:uid="{C14A98C3-0CA2-6B4A-9148-132022719F8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5CABE-B8B5-DF49-B4F5-B8828149EBBD}">
  <dimension ref="A1:B22"/>
  <sheetViews>
    <sheetView zoomScale="60" workbookViewId="0">
      <selection activeCell="J14" sqref="J14"/>
    </sheetView>
  </sheetViews>
  <sheetFormatPr defaultColWidth="8.83203125" defaultRowHeight="16" x14ac:dyDescent="0.4"/>
  <cols>
    <col min="1" max="1" width="13.1640625" bestFit="1" customWidth="1"/>
    <col min="2" max="3" width="14.1640625" bestFit="1" customWidth="1"/>
  </cols>
  <sheetData>
    <row r="1" spans="1:2" x14ac:dyDescent="0.4">
      <c r="A1" s="15" t="s">
        <v>1885</v>
      </c>
      <c r="B1" t="s">
        <v>1886</v>
      </c>
    </row>
    <row r="2" spans="1:2" x14ac:dyDescent="0.4">
      <c r="A2" s="16" t="s">
        <v>56</v>
      </c>
      <c r="B2">
        <v>29</v>
      </c>
    </row>
    <row r="3" spans="1:2" x14ac:dyDescent="0.4">
      <c r="A3" s="16" t="s">
        <v>53</v>
      </c>
      <c r="B3">
        <v>18</v>
      </c>
    </row>
    <row r="4" spans="1:2" x14ac:dyDescent="0.4">
      <c r="A4" s="16" t="s">
        <v>47</v>
      </c>
      <c r="B4">
        <v>28</v>
      </c>
    </row>
    <row r="5" spans="1:2" x14ac:dyDescent="0.4">
      <c r="A5" s="16" t="s">
        <v>66</v>
      </c>
      <c r="B5">
        <v>21</v>
      </c>
    </row>
    <row r="6" spans="1:2" x14ac:dyDescent="0.4">
      <c r="A6" s="16" t="s">
        <v>84</v>
      </c>
      <c r="B6">
        <v>21</v>
      </c>
    </row>
    <row r="7" spans="1:2" x14ac:dyDescent="0.4">
      <c r="A7" s="16" t="s">
        <v>61</v>
      </c>
      <c r="B7">
        <v>32</v>
      </c>
    </row>
    <row r="8" spans="1:2" x14ac:dyDescent="0.4">
      <c r="A8" s="16" t="s">
        <v>1887</v>
      </c>
      <c r="B8">
        <v>149</v>
      </c>
    </row>
    <row r="19" spans="1:2" x14ac:dyDescent="0.4">
      <c r="A19" s="15" t="s">
        <v>1885</v>
      </c>
      <c r="B19" t="s">
        <v>1888</v>
      </c>
    </row>
    <row r="20" spans="1:2" x14ac:dyDescent="0.4">
      <c r="A20" s="16" t="s">
        <v>48</v>
      </c>
      <c r="B20">
        <v>122</v>
      </c>
    </row>
    <row r="21" spans="1:2" x14ac:dyDescent="0.4">
      <c r="A21" s="16" t="s">
        <v>67</v>
      </c>
      <c r="B21">
        <v>27</v>
      </c>
    </row>
    <row r="22" spans="1:2" x14ac:dyDescent="0.4">
      <c r="A22" s="16" t="s">
        <v>1887</v>
      </c>
      <c r="B22">
        <v>149</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1E8D4-5C2E-C846-9513-A023F7ECD2FB}">
  <dimension ref="A2:J116"/>
  <sheetViews>
    <sheetView topLeftCell="A101" zoomScale="41" workbookViewId="0">
      <selection activeCell="I128" sqref="I128"/>
    </sheetView>
  </sheetViews>
  <sheetFormatPr defaultColWidth="8.83203125" defaultRowHeight="16" x14ac:dyDescent="0.4"/>
  <cols>
    <col min="1" max="1" width="21.5" bestFit="1" customWidth="1"/>
    <col min="2" max="2" width="12.6640625" bestFit="1" customWidth="1"/>
    <col min="10" max="10" width="36.83203125" customWidth="1"/>
  </cols>
  <sheetData>
    <row r="2" spans="1:10" x14ac:dyDescent="0.4">
      <c r="A2" s="13" t="s">
        <v>25</v>
      </c>
      <c r="B2" s="13"/>
    </row>
    <row r="4" spans="1:10" x14ac:dyDescent="0.4">
      <c r="A4" t="s">
        <v>1889</v>
      </c>
      <c r="B4">
        <v>42.194630872483224</v>
      </c>
      <c r="J4" s="14"/>
    </row>
    <row r="5" spans="1:10" ht="32" x14ac:dyDescent="0.4">
      <c r="A5" t="s">
        <v>1890</v>
      </c>
      <c r="B5">
        <v>1.6935467686927854</v>
      </c>
      <c r="J5" s="14" t="s">
        <v>1891</v>
      </c>
    </row>
    <row r="6" spans="1:10" ht="32" x14ac:dyDescent="0.4">
      <c r="A6" t="s">
        <v>1892</v>
      </c>
      <c r="B6">
        <v>45</v>
      </c>
      <c r="J6" s="14" t="s">
        <v>1891</v>
      </c>
    </row>
    <row r="7" spans="1:10" x14ac:dyDescent="0.4">
      <c r="A7" t="s">
        <v>1893</v>
      </c>
      <c r="B7">
        <v>50</v>
      </c>
    </row>
    <row r="8" spans="1:10" x14ac:dyDescent="0.4">
      <c r="A8" t="s">
        <v>1894</v>
      </c>
      <c r="B8">
        <v>20.672372819894584</v>
      </c>
    </row>
    <row r="9" spans="1:10" x14ac:dyDescent="0.4">
      <c r="A9" t="s">
        <v>1895</v>
      </c>
      <c r="B9">
        <v>427.34699800471628</v>
      </c>
    </row>
    <row r="10" spans="1:10" x14ac:dyDescent="0.4">
      <c r="A10" t="s">
        <v>1896</v>
      </c>
      <c r="B10">
        <v>-0.75417259085842092</v>
      </c>
    </row>
    <row r="11" spans="1:10" x14ac:dyDescent="0.4">
      <c r="A11" t="s">
        <v>1897</v>
      </c>
      <c r="B11">
        <v>-0.30038209967293894</v>
      </c>
    </row>
    <row r="12" spans="1:10" x14ac:dyDescent="0.4">
      <c r="A12" t="s">
        <v>1898</v>
      </c>
      <c r="B12">
        <v>80</v>
      </c>
    </row>
    <row r="13" spans="1:10" x14ac:dyDescent="0.4">
      <c r="A13" t="s">
        <v>1899</v>
      </c>
      <c r="B13">
        <v>1</v>
      </c>
    </row>
    <row r="14" spans="1:10" x14ac:dyDescent="0.4">
      <c r="A14" t="s">
        <v>1900</v>
      </c>
      <c r="B14">
        <v>81</v>
      </c>
    </row>
    <row r="15" spans="1:10" x14ac:dyDescent="0.4">
      <c r="A15" t="s">
        <v>1901</v>
      </c>
      <c r="B15">
        <v>6287</v>
      </c>
    </row>
    <row r="16" spans="1:10" x14ac:dyDescent="0.4">
      <c r="A16" t="s">
        <v>1902</v>
      </c>
      <c r="B16">
        <v>149</v>
      </c>
    </row>
    <row r="17" spans="1:2" x14ac:dyDescent="0.4">
      <c r="A17" s="11" t="s">
        <v>1903</v>
      </c>
      <c r="B17" s="11">
        <v>3.3466558636006845</v>
      </c>
    </row>
    <row r="23" spans="1:2" x14ac:dyDescent="0.4">
      <c r="A23" s="13" t="s">
        <v>22</v>
      </c>
      <c r="B23" s="13"/>
    </row>
    <row r="25" spans="1:2" x14ac:dyDescent="0.4">
      <c r="A25" t="s">
        <v>1889</v>
      </c>
      <c r="B25">
        <v>10.684563758389261</v>
      </c>
    </row>
    <row r="26" spans="1:2" x14ac:dyDescent="0.4">
      <c r="A26" t="s">
        <v>1890</v>
      </c>
      <c r="B26">
        <v>1.0805608536396638</v>
      </c>
    </row>
    <row r="27" spans="1:2" x14ac:dyDescent="0.4">
      <c r="A27" t="s">
        <v>1892</v>
      </c>
      <c r="B27">
        <v>4</v>
      </c>
    </row>
    <row r="28" spans="1:2" x14ac:dyDescent="0.4">
      <c r="A28" t="s">
        <v>1893</v>
      </c>
      <c r="B28">
        <v>1</v>
      </c>
    </row>
    <row r="29" spans="1:2" x14ac:dyDescent="0.4">
      <c r="A29" t="s">
        <v>1894</v>
      </c>
      <c r="B29">
        <v>13.189926156137242</v>
      </c>
    </row>
    <row r="30" spans="1:2" x14ac:dyDescent="0.4">
      <c r="A30" t="s">
        <v>1895</v>
      </c>
      <c r="B30">
        <v>173.97415200435336</v>
      </c>
    </row>
    <row r="31" spans="1:2" x14ac:dyDescent="0.4">
      <c r="A31" t="s">
        <v>1896</v>
      </c>
      <c r="B31">
        <v>1.3663881352314093</v>
      </c>
    </row>
    <row r="32" spans="1:2" x14ac:dyDescent="0.4">
      <c r="A32" t="s">
        <v>1897</v>
      </c>
      <c r="B32">
        <v>1.5245764525014118</v>
      </c>
    </row>
    <row r="33" spans="1:2" x14ac:dyDescent="0.4">
      <c r="A33" t="s">
        <v>1898</v>
      </c>
      <c r="B33">
        <v>53</v>
      </c>
    </row>
    <row r="34" spans="1:2" x14ac:dyDescent="0.4">
      <c r="A34" t="s">
        <v>1899</v>
      </c>
      <c r="B34">
        <v>0</v>
      </c>
    </row>
    <row r="35" spans="1:2" x14ac:dyDescent="0.4">
      <c r="A35" t="s">
        <v>1900</v>
      </c>
      <c r="B35">
        <v>53</v>
      </c>
    </row>
    <row r="36" spans="1:2" x14ac:dyDescent="0.4">
      <c r="A36" t="s">
        <v>1901</v>
      </c>
      <c r="B36">
        <v>1592</v>
      </c>
    </row>
    <row r="37" spans="1:2" x14ac:dyDescent="0.4">
      <c r="A37" t="s">
        <v>1902</v>
      </c>
      <c r="B37">
        <v>149</v>
      </c>
    </row>
    <row r="38" spans="1:2" x14ac:dyDescent="0.4">
      <c r="A38" s="11" t="s">
        <v>1903</v>
      </c>
      <c r="B38" s="11">
        <v>2.1353206085958076</v>
      </c>
    </row>
    <row r="42" spans="1:2" x14ac:dyDescent="0.4">
      <c r="A42" s="13" t="s">
        <v>27</v>
      </c>
      <c r="B42" s="13"/>
    </row>
    <row r="44" spans="1:2" x14ac:dyDescent="0.4">
      <c r="A44" t="s">
        <v>1889</v>
      </c>
      <c r="B44">
        <v>0.62232885906040258</v>
      </c>
    </row>
    <row r="45" spans="1:2" x14ac:dyDescent="0.4">
      <c r="A45" t="s">
        <v>1890</v>
      </c>
      <c r="B45">
        <v>1.3133785504945539E-2</v>
      </c>
    </row>
    <row r="46" spans="1:2" x14ac:dyDescent="0.4">
      <c r="A46" t="s">
        <v>1892</v>
      </c>
      <c r="B46">
        <v>0.64400000000000002</v>
      </c>
    </row>
    <row r="47" spans="1:2" x14ac:dyDescent="0.4">
      <c r="A47" t="s">
        <v>1893</v>
      </c>
      <c r="B47">
        <v>0.75800000000000001</v>
      </c>
    </row>
    <row r="48" spans="1:2" x14ac:dyDescent="0.4">
      <c r="A48" t="s">
        <v>1894</v>
      </c>
      <c r="B48">
        <v>0.16031828321123487</v>
      </c>
    </row>
    <row r="49" spans="1:2" x14ac:dyDescent="0.4">
      <c r="A49" t="s">
        <v>1895</v>
      </c>
      <c r="B49">
        <v>2.5701951931797716E-2</v>
      </c>
    </row>
    <row r="50" spans="1:2" x14ac:dyDescent="0.4">
      <c r="A50" t="s">
        <v>1896</v>
      </c>
      <c r="B50">
        <v>-0.36121260218733164</v>
      </c>
    </row>
    <row r="51" spans="1:2" x14ac:dyDescent="0.4">
      <c r="A51" t="s">
        <v>1897</v>
      </c>
      <c r="B51">
        <v>-0.30291309672062033</v>
      </c>
    </row>
    <row r="52" spans="1:2" x14ac:dyDescent="0.4">
      <c r="A52" t="s">
        <v>1898</v>
      </c>
      <c r="B52">
        <v>0.78599999999999992</v>
      </c>
    </row>
    <row r="53" spans="1:2" x14ac:dyDescent="0.4">
      <c r="A53" t="s">
        <v>1899</v>
      </c>
      <c r="B53">
        <v>0.16200000000000001</v>
      </c>
    </row>
    <row r="54" spans="1:2" x14ac:dyDescent="0.4">
      <c r="A54" t="s">
        <v>1900</v>
      </c>
      <c r="B54">
        <v>0.94799999999999995</v>
      </c>
    </row>
    <row r="55" spans="1:2" x14ac:dyDescent="0.4">
      <c r="A55" t="s">
        <v>1901</v>
      </c>
      <c r="B55">
        <v>92.72699999999999</v>
      </c>
    </row>
    <row r="56" spans="1:2" x14ac:dyDescent="0.4">
      <c r="A56" t="s">
        <v>1902</v>
      </c>
      <c r="B56">
        <v>149</v>
      </c>
    </row>
    <row r="57" spans="1:2" x14ac:dyDescent="0.4">
      <c r="A57" s="11" t="s">
        <v>1903</v>
      </c>
      <c r="B57" s="11">
        <v>2.5953968962621015E-2</v>
      </c>
    </row>
    <row r="62" spans="1:2" x14ac:dyDescent="0.4">
      <c r="A62" s="13" t="s">
        <v>32</v>
      </c>
      <c r="B62" s="13"/>
    </row>
    <row r="64" spans="1:2" x14ac:dyDescent="0.4">
      <c r="A64" t="s">
        <v>1889</v>
      </c>
      <c r="B64">
        <v>0.15244656845637583</v>
      </c>
    </row>
    <row r="65" spans="1:2" x14ac:dyDescent="0.4">
      <c r="A65" t="s">
        <v>1890</v>
      </c>
      <c r="B65">
        <v>1.612232363929696E-2</v>
      </c>
    </row>
    <row r="66" spans="1:2" x14ac:dyDescent="0.4">
      <c r="A66" t="s">
        <v>1892</v>
      </c>
      <c r="B66">
        <v>6.3200000000000006E-2</v>
      </c>
    </row>
    <row r="67" spans="1:2" x14ac:dyDescent="0.4">
      <c r="A67" t="s">
        <v>1893</v>
      </c>
      <c r="B67">
        <v>0.79500000000000004</v>
      </c>
    </row>
    <row r="68" spans="1:2" x14ac:dyDescent="0.4">
      <c r="A68" t="s">
        <v>1894</v>
      </c>
      <c r="B68">
        <v>0.1967980401579365</v>
      </c>
    </row>
    <row r="69" spans="1:2" x14ac:dyDescent="0.4">
      <c r="A69" t="s">
        <v>1895</v>
      </c>
      <c r="B69">
        <v>3.8729468610004786E-2</v>
      </c>
    </row>
    <row r="70" spans="1:2" x14ac:dyDescent="0.4">
      <c r="A70" t="s">
        <v>1896</v>
      </c>
      <c r="B70">
        <v>2.6953416821744276</v>
      </c>
    </row>
    <row r="71" spans="1:2" x14ac:dyDescent="0.4">
      <c r="A71" t="s">
        <v>1897</v>
      </c>
      <c r="B71">
        <v>1.723520016444092</v>
      </c>
    </row>
    <row r="72" spans="1:2" x14ac:dyDescent="0.4">
      <c r="A72" t="s">
        <v>1898</v>
      </c>
      <c r="B72">
        <v>0.87195350000000005</v>
      </c>
    </row>
    <row r="73" spans="1:2" x14ac:dyDescent="0.4">
      <c r="A73" t="s">
        <v>1899</v>
      </c>
      <c r="B73">
        <v>4.6499999999999999E-5</v>
      </c>
    </row>
    <row r="74" spans="1:2" x14ac:dyDescent="0.4">
      <c r="A74" t="s">
        <v>1900</v>
      </c>
      <c r="B74">
        <v>0.872</v>
      </c>
    </row>
    <row r="75" spans="1:2" x14ac:dyDescent="0.4">
      <c r="A75" t="s">
        <v>1901</v>
      </c>
      <c r="B75">
        <v>22.714538699999999</v>
      </c>
    </row>
    <row r="76" spans="1:2" x14ac:dyDescent="0.4">
      <c r="A76" t="s">
        <v>1902</v>
      </c>
      <c r="B76">
        <v>149</v>
      </c>
    </row>
    <row r="77" spans="1:2" x14ac:dyDescent="0.4">
      <c r="A77" s="11" t="s">
        <v>1903</v>
      </c>
      <c r="B77" s="11">
        <v>3.1859686392935307E-2</v>
      </c>
    </row>
    <row r="81" spans="1:2" x14ac:dyDescent="0.4">
      <c r="A81" s="13" t="s">
        <v>40</v>
      </c>
      <c r="B81" s="13"/>
    </row>
    <row r="83" spans="1:2" x14ac:dyDescent="0.4">
      <c r="A83" t="s">
        <v>1889</v>
      </c>
      <c r="B83">
        <v>118.23489932885906</v>
      </c>
    </row>
    <row r="84" spans="1:2" x14ac:dyDescent="0.4">
      <c r="A84" t="s">
        <v>1890</v>
      </c>
      <c r="B84">
        <v>2.1241698853797009</v>
      </c>
    </row>
    <row r="85" spans="1:2" x14ac:dyDescent="0.4">
      <c r="A85" t="s">
        <v>1892</v>
      </c>
      <c r="B85">
        <v>117</v>
      </c>
    </row>
    <row r="86" spans="1:2" x14ac:dyDescent="0.4">
      <c r="A86" t="s">
        <v>1893</v>
      </c>
      <c r="B86">
        <v>128</v>
      </c>
    </row>
    <row r="87" spans="1:2" x14ac:dyDescent="0.4">
      <c r="A87" t="s">
        <v>1894</v>
      </c>
      <c r="B87">
        <v>25.928797843154001</v>
      </c>
    </row>
    <row r="88" spans="1:2" x14ac:dyDescent="0.4">
      <c r="A88" t="s">
        <v>1895</v>
      </c>
      <c r="B88">
        <v>672.30255759114755</v>
      </c>
    </row>
    <row r="89" spans="1:2" x14ac:dyDescent="0.4">
      <c r="A89" t="s">
        <v>1896</v>
      </c>
      <c r="B89">
        <v>-0.31854813923083869</v>
      </c>
    </row>
    <row r="90" spans="1:2" x14ac:dyDescent="0.4">
      <c r="A90" t="s">
        <v>1897</v>
      </c>
      <c r="B90">
        <v>0.59986710128150444</v>
      </c>
    </row>
    <row r="91" spans="1:2" x14ac:dyDescent="0.4">
      <c r="A91" t="s">
        <v>1898</v>
      </c>
      <c r="B91">
        <v>102</v>
      </c>
    </row>
    <row r="92" spans="1:2" x14ac:dyDescent="0.4">
      <c r="A92" t="s">
        <v>1899</v>
      </c>
      <c r="B92">
        <v>78</v>
      </c>
    </row>
    <row r="93" spans="1:2" x14ac:dyDescent="0.4">
      <c r="A93" t="s">
        <v>1900</v>
      </c>
      <c r="B93">
        <v>180</v>
      </c>
    </row>
    <row r="94" spans="1:2" x14ac:dyDescent="0.4">
      <c r="A94" t="s">
        <v>1901</v>
      </c>
      <c r="B94">
        <v>17617</v>
      </c>
    </row>
    <row r="95" spans="1:2" x14ac:dyDescent="0.4">
      <c r="A95" t="s">
        <v>1902</v>
      </c>
      <c r="B95">
        <v>149</v>
      </c>
    </row>
    <row r="96" spans="1:2" x14ac:dyDescent="0.4">
      <c r="A96" s="11" t="s">
        <v>1903</v>
      </c>
      <c r="B96" s="11">
        <v>4.197619890755754</v>
      </c>
    </row>
    <row r="101" spans="1:2" x14ac:dyDescent="0.4">
      <c r="A101" s="13" t="s">
        <v>42</v>
      </c>
      <c r="B101" s="13"/>
    </row>
    <row r="103" spans="1:2" x14ac:dyDescent="0.4">
      <c r="A103" t="s">
        <v>1889</v>
      </c>
      <c r="B103">
        <v>231.43624161073825</v>
      </c>
    </row>
    <row r="104" spans="1:2" x14ac:dyDescent="0.4">
      <c r="A104" t="s">
        <v>1890</v>
      </c>
      <c r="B104">
        <v>5.0572750957175394</v>
      </c>
    </row>
    <row r="105" spans="1:2" x14ac:dyDescent="0.4">
      <c r="A105" t="s">
        <v>1892</v>
      </c>
      <c r="B105">
        <v>220</v>
      </c>
    </row>
    <row r="106" spans="1:2" x14ac:dyDescent="0.4">
      <c r="A106" t="s">
        <v>1893</v>
      </c>
      <c r="B106">
        <v>234</v>
      </c>
    </row>
    <row r="107" spans="1:2" x14ac:dyDescent="0.4">
      <c r="A107" t="s">
        <v>1894</v>
      </c>
      <c r="B107">
        <v>61.731909719941122</v>
      </c>
    </row>
    <row r="108" spans="1:2" x14ac:dyDescent="0.4">
      <c r="A108" t="s">
        <v>1895</v>
      </c>
      <c r="B108">
        <v>3810.828677670961</v>
      </c>
    </row>
    <row r="109" spans="1:2" x14ac:dyDescent="0.4">
      <c r="A109" t="s">
        <v>1896</v>
      </c>
      <c r="B109">
        <v>3.0228509969986868</v>
      </c>
    </row>
    <row r="110" spans="1:2" x14ac:dyDescent="0.4">
      <c r="A110" t="s">
        <v>1897</v>
      </c>
      <c r="B110">
        <v>1.316162398474803</v>
      </c>
    </row>
    <row r="111" spans="1:2" x14ac:dyDescent="0.4">
      <c r="A111" t="s">
        <v>1898</v>
      </c>
      <c r="B111">
        <v>397</v>
      </c>
    </row>
    <row r="112" spans="1:2" x14ac:dyDescent="0.4">
      <c r="A112" t="s">
        <v>1899</v>
      </c>
      <c r="B112">
        <v>109</v>
      </c>
    </row>
    <row r="113" spans="1:2" x14ac:dyDescent="0.4">
      <c r="A113" t="s">
        <v>1900</v>
      </c>
      <c r="B113">
        <v>506</v>
      </c>
    </row>
    <row r="114" spans="1:2" x14ac:dyDescent="0.4">
      <c r="A114" t="s">
        <v>1901</v>
      </c>
      <c r="B114">
        <v>34484</v>
      </c>
    </row>
    <row r="115" spans="1:2" x14ac:dyDescent="0.4">
      <c r="A115" t="s">
        <v>1902</v>
      </c>
      <c r="B115">
        <v>149</v>
      </c>
    </row>
    <row r="116" spans="1:2" x14ac:dyDescent="0.4">
      <c r="A116" s="11" t="s">
        <v>1903</v>
      </c>
      <c r="B116" s="11">
        <v>9.993795073040026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4563B-0C7A-47D9-9735-4B75D7775B81}">
  <dimension ref="A1:G7"/>
  <sheetViews>
    <sheetView showGridLines="0" topLeftCell="A7" zoomScale="41" workbookViewId="0">
      <selection activeCell="P57" sqref="P57"/>
    </sheetView>
  </sheetViews>
  <sheetFormatPr defaultColWidth="10.6640625" defaultRowHeight="16" x14ac:dyDescent="0.4"/>
  <cols>
    <col min="1" max="1" width="11.83203125" bestFit="1" customWidth="1"/>
    <col min="2" max="6" width="12.83203125" bestFit="1" customWidth="1"/>
    <col min="7" max="7" width="8.83203125" bestFit="1" customWidth="1"/>
  </cols>
  <sheetData>
    <row r="1" spans="1:7" x14ac:dyDescent="0.4">
      <c r="A1" s="19"/>
      <c r="B1" s="19" t="s">
        <v>22</v>
      </c>
      <c r="C1" s="19" t="s">
        <v>25</v>
      </c>
      <c r="D1" s="19" t="s">
        <v>27</v>
      </c>
      <c r="E1" s="19" t="s">
        <v>32</v>
      </c>
      <c r="F1" s="19" t="s">
        <v>40</v>
      </c>
      <c r="G1" s="19" t="s">
        <v>42</v>
      </c>
    </row>
    <row r="2" spans="1:7" x14ac:dyDescent="0.4">
      <c r="A2" t="s">
        <v>22</v>
      </c>
      <c r="B2">
        <v>1</v>
      </c>
    </row>
    <row r="3" spans="1:7" x14ac:dyDescent="0.4">
      <c r="A3" t="s">
        <v>25</v>
      </c>
      <c r="B3">
        <v>-4.0834184537684323E-2</v>
      </c>
      <c r="C3">
        <v>1</v>
      </c>
    </row>
    <row r="4" spans="1:7" x14ac:dyDescent="0.4">
      <c r="A4" t="s">
        <v>27</v>
      </c>
      <c r="B4">
        <v>-0.23275443752139857</v>
      </c>
      <c r="C4">
        <v>0.10006300800007498</v>
      </c>
      <c r="D4">
        <v>1</v>
      </c>
    </row>
    <row r="5" spans="1:7" x14ac:dyDescent="0.4">
      <c r="A5" t="s">
        <v>32</v>
      </c>
      <c r="B5">
        <v>9.1243255416663949E-2</v>
      </c>
      <c r="C5">
        <v>5.4567719861607834E-2</v>
      </c>
      <c r="D5">
        <v>4.2979739062627483E-2</v>
      </c>
      <c r="E5">
        <v>1</v>
      </c>
    </row>
    <row r="6" spans="1:7" x14ac:dyDescent="0.4">
      <c r="A6" t="s">
        <v>40</v>
      </c>
      <c r="B6">
        <v>1.0807688908086165E-2</v>
      </c>
      <c r="C6">
        <v>1.5381273517381978E-2</v>
      </c>
      <c r="D6">
        <v>-0.12202314552223224</v>
      </c>
      <c r="E6">
        <v>-0.12917418136988801</v>
      </c>
      <c r="F6">
        <v>1</v>
      </c>
    </row>
    <row r="7" spans="1:7" ht="16.5" thickBot="1" x14ac:dyDescent="0.45">
      <c r="A7" s="11" t="s">
        <v>42</v>
      </c>
      <c r="B7" s="11">
        <v>0.24316762508773962</v>
      </c>
      <c r="C7" s="11">
        <v>-0.26547780111957947</v>
      </c>
      <c r="D7" s="11">
        <v>-0.42984021850577703</v>
      </c>
      <c r="E7" s="11">
        <v>-8.4810602952404127E-2</v>
      </c>
      <c r="F7" s="11">
        <v>-1.0575489071601362E-2</v>
      </c>
      <c r="G7" s="11">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F505D-949C-4904-BC14-791D6E19CE76}">
  <dimension ref="A1:Q150"/>
  <sheetViews>
    <sheetView topLeftCell="A11" zoomScale="58" workbookViewId="0">
      <selection activeCell="L40" sqref="L40"/>
    </sheetView>
  </sheetViews>
  <sheetFormatPr defaultColWidth="10.6640625" defaultRowHeight="16" x14ac:dyDescent="0.4"/>
  <cols>
    <col min="1" max="1" width="10.5" customWidth="1"/>
    <col min="2" max="2" width="9.5" bestFit="1" customWidth="1"/>
    <col min="11" max="11" width="17.5" bestFit="1" customWidth="1"/>
    <col min="12" max="12" width="12.1640625" bestFit="1" customWidth="1"/>
    <col min="13" max="13" width="5.33203125" bestFit="1" customWidth="1"/>
  </cols>
  <sheetData>
    <row r="1" spans="1:15" x14ac:dyDescent="0.4">
      <c r="A1" s="18" t="s">
        <v>19</v>
      </c>
      <c r="B1" s="18" t="s">
        <v>25</v>
      </c>
      <c r="C1" s="18" t="s">
        <v>1904</v>
      </c>
      <c r="D1" s="18" t="s">
        <v>1905</v>
      </c>
      <c r="E1" s="18" t="s">
        <v>1906</v>
      </c>
      <c r="F1" s="18" t="s">
        <v>1907</v>
      </c>
      <c r="G1" s="18" t="s">
        <v>1908</v>
      </c>
      <c r="H1" s="18" t="s">
        <v>1909</v>
      </c>
    </row>
    <row r="2" spans="1:15" x14ac:dyDescent="0.4">
      <c r="A2" t="s">
        <v>56</v>
      </c>
      <c r="B2" s="2">
        <v>54</v>
      </c>
      <c r="C2" s="2">
        <v>10</v>
      </c>
      <c r="D2" s="2">
        <v>63</v>
      </c>
      <c r="E2" s="2">
        <v>54</v>
      </c>
      <c r="F2" s="2">
        <v>13</v>
      </c>
      <c r="G2" s="2">
        <v>45</v>
      </c>
      <c r="H2" s="2">
        <v>34</v>
      </c>
    </row>
    <row r="3" spans="1:15" x14ac:dyDescent="0.4">
      <c r="A3" t="s">
        <v>56</v>
      </c>
      <c r="B3" s="2">
        <v>74</v>
      </c>
      <c r="C3" s="2">
        <v>41</v>
      </c>
      <c r="D3" s="2">
        <v>50</v>
      </c>
      <c r="E3" s="2">
        <v>74</v>
      </c>
      <c r="F3" s="2">
        <v>6</v>
      </c>
      <c r="G3" s="2">
        <v>42</v>
      </c>
      <c r="H3" s="2">
        <v>68</v>
      </c>
    </row>
    <row r="4" spans="1:15" x14ac:dyDescent="0.4">
      <c r="A4" t="s">
        <v>56</v>
      </c>
      <c r="B4" s="2">
        <v>47</v>
      </c>
      <c r="C4" s="2">
        <v>29</v>
      </c>
      <c r="D4" s="2">
        <v>37</v>
      </c>
      <c r="E4" s="2">
        <v>47</v>
      </c>
      <c r="F4" s="2">
        <v>62</v>
      </c>
      <c r="G4" s="2">
        <v>78</v>
      </c>
      <c r="H4" s="2">
        <v>43</v>
      </c>
      <c r="K4" t="s">
        <v>1910</v>
      </c>
    </row>
    <row r="5" spans="1:15" x14ac:dyDescent="0.4">
      <c r="A5" t="s">
        <v>56</v>
      </c>
      <c r="B5" s="2">
        <v>44</v>
      </c>
      <c r="C5" s="2">
        <v>80</v>
      </c>
      <c r="D5" s="2">
        <v>53</v>
      </c>
      <c r="E5" s="2">
        <v>44</v>
      </c>
      <c r="F5" s="2">
        <v>38</v>
      </c>
      <c r="G5" s="2">
        <v>55</v>
      </c>
      <c r="H5" s="2">
        <v>77</v>
      </c>
    </row>
    <row r="6" spans="1:15" ht="16.5" thickBot="1" x14ac:dyDescent="0.45">
      <c r="A6" t="s">
        <v>56</v>
      </c>
      <c r="B6" s="2">
        <v>61</v>
      </c>
      <c r="C6" s="2">
        <v>60</v>
      </c>
      <c r="D6" s="2">
        <v>52</v>
      </c>
      <c r="E6" s="2">
        <v>61</v>
      </c>
      <c r="F6" s="2">
        <v>51</v>
      </c>
      <c r="G6" s="2">
        <v>19</v>
      </c>
      <c r="H6" s="2">
        <v>46</v>
      </c>
      <c r="K6" t="s">
        <v>1911</v>
      </c>
    </row>
    <row r="7" spans="1:15" x14ac:dyDescent="0.4">
      <c r="A7" t="s">
        <v>56</v>
      </c>
      <c r="B7" s="2">
        <v>10</v>
      </c>
      <c r="C7" s="2">
        <v>17</v>
      </c>
      <c r="D7" s="2">
        <v>16</v>
      </c>
      <c r="E7" s="2">
        <v>10</v>
      </c>
      <c r="F7" s="2">
        <v>18</v>
      </c>
      <c r="G7" s="2">
        <v>8</v>
      </c>
      <c r="H7" s="2">
        <v>56</v>
      </c>
      <c r="K7" s="19" t="s">
        <v>1912</v>
      </c>
      <c r="L7" s="19" t="s">
        <v>1902</v>
      </c>
      <c r="M7" s="19" t="s">
        <v>1901</v>
      </c>
      <c r="N7" s="19" t="s">
        <v>1913</v>
      </c>
      <c r="O7" s="19" t="s">
        <v>1914</v>
      </c>
    </row>
    <row r="8" spans="1:15" x14ac:dyDescent="0.4">
      <c r="A8" t="s">
        <v>56</v>
      </c>
      <c r="B8" s="2">
        <v>1</v>
      </c>
      <c r="C8" s="2">
        <v>36</v>
      </c>
      <c r="D8" s="2">
        <v>20</v>
      </c>
      <c r="E8" s="2">
        <v>1</v>
      </c>
      <c r="F8" s="2">
        <v>61</v>
      </c>
      <c r="G8" s="2">
        <v>57</v>
      </c>
      <c r="H8" s="2">
        <v>12</v>
      </c>
      <c r="K8">
        <v>10</v>
      </c>
      <c r="L8">
        <v>27</v>
      </c>
      <c r="M8">
        <v>1245</v>
      </c>
      <c r="N8">
        <v>46.111111111111114</v>
      </c>
      <c r="O8">
        <v>491.17948717948707</v>
      </c>
    </row>
    <row r="9" spans="1:15" x14ac:dyDescent="0.4">
      <c r="A9" t="s">
        <v>56</v>
      </c>
      <c r="B9" s="2">
        <v>30</v>
      </c>
      <c r="C9" s="2">
        <v>62</v>
      </c>
      <c r="D9" s="2">
        <v>59</v>
      </c>
      <c r="E9" s="2">
        <v>30</v>
      </c>
      <c r="F9" s="2">
        <v>12</v>
      </c>
      <c r="G9" s="2">
        <v>50</v>
      </c>
      <c r="H9" s="2">
        <v>44</v>
      </c>
      <c r="K9">
        <v>63</v>
      </c>
      <c r="L9">
        <v>17</v>
      </c>
      <c r="M9">
        <v>624</v>
      </c>
      <c r="N9">
        <v>36.705882352941174</v>
      </c>
      <c r="O9">
        <v>362.34558823529414</v>
      </c>
    </row>
    <row r="10" spans="1:15" x14ac:dyDescent="0.4">
      <c r="A10" t="s">
        <v>56</v>
      </c>
      <c r="B10" s="2">
        <v>31</v>
      </c>
      <c r="C10" s="2">
        <v>47</v>
      </c>
      <c r="D10" s="2">
        <v>41</v>
      </c>
      <c r="E10" s="2">
        <v>31</v>
      </c>
      <c r="F10" s="2">
        <v>43</v>
      </c>
      <c r="G10" s="2">
        <v>43</v>
      </c>
      <c r="H10" s="2">
        <v>18</v>
      </c>
      <c r="K10">
        <v>54</v>
      </c>
      <c r="L10">
        <v>28</v>
      </c>
      <c r="M10">
        <v>1046</v>
      </c>
      <c r="N10">
        <v>37.357142857142854</v>
      </c>
      <c r="O10">
        <v>505.05291005291008</v>
      </c>
    </row>
    <row r="11" spans="1:15" x14ac:dyDescent="0.4">
      <c r="A11" t="s">
        <v>56</v>
      </c>
      <c r="B11" s="2">
        <v>77</v>
      </c>
      <c r="C11" s="2">
        <v>18</v>
      </c>
      <c r="D11" s="2">
        <v>51</v>
      </c>
      <c r="E11" s="2">
        <v>77</v>
      </c>
      <c r="F11" s="2">
        <v>54</v>
      </c>
      <c r="G11" s="2">
        <v>26</v>
      </c>
      <c r="H11" s="2">
        <v>23</v>
      </c>
      <c r="K11">
        <v>13</v>
      </c>
      <c r="L11">
        <v>20</v>
      </c>
      <c r="M11">
        <v>834</v>
      </c>
      <c r="N11">
        <v>41.7</v>
      </c>
      <c r="O11">
        <v>385.6947368421051</v>
      </c>
    </row>
    <row r="12" spans="1:15" x14ac:dyDescent="0.4">
      <c r="A12" t="s">
        <v>56</v>
      </c>
      <c r="B12" s="2">
        <v>4</v>
      </c>
      <c r="C12" s="2">
        <v>53</v>
      </c>
      <c r="D12" s="2">
        <v>7</v>
      </c>
      <c r="E12" s="2">
        <v>4</v>
      </c>
      <c r="F12" s="2">
        <v>56</v>
      </c>
      <c r="G12" s="2">
        <v>49</v>
      </c>
      <c r="H12" s="2">
        <v>50</v>
      </c>
      <c r="K12">
        <v>45</v>
      </c>
      <c r="L12">
        <v>20</v>
      </c>
      <c r="M12">
        <v>861</v>
      </c>
      <c r="N12">
        <v>43.05</v>
      </c>
      <c r="O12">
        <v>470.04999999999984</v>
      </c>
    </row>
    <row r="13" spans="1:15" ht="16.5" thickBot="1" x14ac:dyDescent="0.45">
      <c r="A13" t="s">
        <v>56</v>
      </c>
      <c r="B13" s="2">
        <v>14</v>
      </c>
      <c r="C13" s="2">
        <v>52</v>
      </c>
      <c r="D13" s="2">
        <v>44</v>
      </c>
      <c r="E13" s="2">
        <v>14</v>
      </c>
      <c r="F13" s="2">
        <v>12</v>
      </c>
      <c r="G13" s="2">
        <v>11</v>
      </c>
      <c r="H13" s="2">
        <v>8</v>
      </c>
      <c r="K13" s="11">
        <v>34</v>
      </c>
      <c r="L13" s="11">
        <v>31</v>
      </c>
      <c r="M13" s="11">
        <v>1458</v>
      </c>
      <c r="N13" s="11">
        <v>47.032258064516128</v>
      </c>
      <c r="O13" s="11">
        <v>330.69892473118284</v>
      </c>
    </row>
    <row r="14" spans="1:15" x14ac:dyDescent="0.4">
      <c r="A14" t="s">
        <v>56</v>
      </c>
      <c r="B14" s="2">
        <v>2</v>
      </c>
      <c r="C14" s="2">
        <v>59</v>
      </c>
      <c r="D14" s="2">
        <v>54</v>
      </c>
      <c r="E14" s="2">
        <v>2</v>
      </c>
      <c r="F14" s="2">
        <v>50</v>
      </c>
      <c r="G14" s="2">
        <v>38</v>
      </c>
      <c r="H14" s="2">
        <v>39</v>
      </c>
    </row>
    <row r="15" spans="1:15" x14ac:dyDescent="0.4">
      <c r="A15" t="s">
        <v>56</v>
      </c>
      <c r="B15" s="2">
        <v>53</v>
      </c>
      <c r="C15" s="2">
        <v>66</v>
      </c>
      <c r="D15" s="2">
        <v>5</v>
      </c>
      <c r="E15" s="2">
        <v>53</v>
      </c>
      <c r="F15" s="2">
        <v>43</v>
      </c>
      <c r="G15" s="2">
        <v>6</v>
      </c>
      <c r="H15" s="2">
        <v>54</v>
      </c>
    </row>
    <row r="16" spans="1:15" ht="16.5" thickBot="1" x14ac:dyDescent="0.45">
      <c r="A16" t="s">
        <v>56</v>
      </c>
      <c r="B16" s="2">
        <v>79</v>
      </c>
      <c r="C16" s="2">
        <v>46</v>
      </c>
      <c r="D16" s="2">
        <v>41</v>
      </c>
      <c r="E16" s="2">
        <v>79</v>
      </c>
      <c r="F16" s="2">
        <v>29</v>
      </c>
      <c r="G16" s="2">
        <v>27</v>
      </c>
      <c r="H16" s="2">
        <v>76</v>
      </c>
      <c r="K16" t="s">
        <v>1915</v>
      </c>
    </row>
    <row r="17" spans="1:17" x14ac:dyDescent="0.4">
      <c r="A17" t="s">
        <v>56</v>
      </c>
      <c r="B17" s="2">
        <v>28</v>
      </c>
      <c r="C17" s="2">
        <v>63</v>
      </c>
      <c r="D17" s="2">
        <v>3</v>
      </c>
      <c r="E17" s="2">
        <v>28</v>
      </c>
      <c r="F17" s="2">
        <v>55</v>
      </c>
      <c r="G17" s="2">
        <v>72</v>
      </c>
      <c r="H17" s="2">
        <v>50</v>
      </c>
      <c r="K17" s="19" t="s">
        <v>1916</v>
      </c>
      <c r="L17" s="19" t="s">
        <v>1917</v>
      </c>
      <c r="M17" s="19" t="s">
        <v>1918</v>
      </c>
      <c r="N17" s="19" t="s">
        <v>1919</v>
      </c>
      <c r="O17" s="19" t="s">
        <v>1920</v>
      </c>
      <c r="P17" s="19" t="s">
        <v>1921</v>
      </c>
      <c r="Q17" s="19" t="s">
        <v>1922</v>
      </c>
    </row>
    <row r="18" spans="1:17" x14ac:dyDescent="0.4">
      <c r="A18" t="s">
        <v>56</v>
      </c>
      <c r="B18" s="2">
        <v>52</v>
      </c>
      <c r="C18" s="2">
        <v>67</v>
      </c>
      <c r="D18" s="2">
        <v>37</v>
      </c>
      <c r="E18" s="2">
        <v>52</v>
      </c>
      <c r="F18" s="2">
        <v>69</v>
      </c>
      <c r="G18" s="2">
        <v>53</v>
      </c>
      <c r="H18" s="2">
        <v>44</v>
      </c>
      <c r="K18" t="s">
        <v>1923</v>
      </c>
      <c r="L18">
        <v>2318.3764893234402</v>
      </c>
      <c r="M18">
        <v>5</v>
      </c>
      <c r="N18">
        <v>463.67529786468805</v>
      </c>
      <c r="O18">
        <v>1.0880156904895235</v>
      </c>
      <c r="P18" s="21">
        <v>0.36984156568091398</v>
      </c>
      <c r="Q18">
        <v>2.280308673770262</v>
      </c>
    </row>
    <row r="19" spans="1:17" x14ac:dyDescent="0.4">
      <c r="A19" t="s">
        <v>56</v>
      </c>
      <c r="B19" s="2">
        <v>32</v>
      </c>
      <c r="C19" s="2">
        <v>63</v>
      </c>
      <c r="D19" s="2">
        <v>54</v>
      </c>
      <c r="E19" s="2">
        <v>32</v>
      </c>
      <c r="F19" s="2">
        <v>63</v>
      </c>
      <c r="G19" s="2">
        <v>81</v>
      </c>
      <c r="H19" s="2">
        <v>65</v>
      </c>
      <c r="K19" t="s">
        <v>1924</v>
      </c>
      <c r="L19">
        <v>58384.742391795429</v>
      </c>
      <c r="M19">
        <v>137</v>
      </c>
      <c r="N19">
        <v>426.16600285982065</v>
      </c>
    </row>
    <row r="20" spans="1:17" x14ac:dyDescent="0.4">
      <c r="A20" t="s">
        <v>56</v>
      </c>
      <c r="B20" s="2">
        <v>37</v>
      </c>
      <c r="C20" s="2">
        <v>5</v>
      </c>
      <c r="D20" s="2"/>
      <c r="E20" s="2">
        <v>37</v>
      </c>
      <c r="F20" s="2">
        <v>60</v>
      </c>
      <c r="G20" s="2">
        <v>50</v>
      </c>
      <c r="H20" s="2">
        <v>55</v>
      </c>
    </row>
    <row r="21" spans="1:17" ht="16.5" thickBot="1" x14ac:dyDescent="0.45">
      <c r="A21" t="s">
        <v>56</v>
      </c>
      <c r="B21" s="2">
        <v>37</v>
      </c>
      <c r="C21" s="2">
        <v>58</v>
      </c>
      <c r="D21" s="2"/>
      <c r="E21" s="2">
        <v>37</v>
      </c>
      <c r="F21" s="2">
        <v>21</v>
      </c>
      <c r="G21" s="2">
        <v>52</v>
      </c>
      <c r="H21" s="2">
        <v>39</v>
      </c>
      <c r="K21" s="11" t="s">
        <v>1925</v>
      </c>
      <c r="L21" s="11">
        <v>60703.118881118869</v>
      </c>
      <c r="M21" s="11">
        <v>142</v>
      </c>
      <c r="N21" s="11"/>
      <c r="O21" s="11"/>
      <c r="P21" s="11"/>
      <c r="Q21" s="11"/>
    </row>
    <row r="22" spans="1:17" x14ac:dyDescent="0.4">
      <c r="A22" t="s">
        <v>56</v>
      </c>
      <c r="B22" s="2">
        <v>29</v>
      </c>
      <c r="C22" s="2">
        <v>2</v>
      </c>
      <c r="D22" s="2"/>
      <c r="E22" s="2">
        <v>29</v>
      </c>
      <c r="F22" s="2">
        <v>31</v>
      </c>
      <c r="G22" s="2">
        <v>44</v>
      </c>
      <c r="H22" s="2">
        <v>52</v>
      </c>
    </row>
    <row r="23" spans="1:17" x14ac:dyDescent="0.4">
      <c r="A23" t="s">
        <v>56</v>
      </c>
      <c r="B23" s="2">
        <v>59</v>
      </c>
      <c r="C23" s="2">
        <v>61</v>
      </c>
      <c r="D23" s="2"/>
      <c r="E23" s="2">
        <v>59</v>
      </c>
      <c r="H23" s="2">
        <v>69</v>
      </c>
    </row>
    <row r="24" spans="1:17" x14ac:dyDescent="0.4">
      <c r="A24" t="s">
        <v>56</v>
      </c>
      <c r="B24" s="2">
        <v>63</v>
      </c>
      <c r="C24" s="2">
        <v>72</v>
      </c>
      <c r="D24" s="2"/>
      <c r="E24" s="2">
        <v>63</v>
      </c>
      <c r="H24" s="2">
        <v>51</v>
      </c>
    </row>
    <row r="25" spans="1:17" x14ac:dyDescent="0.4">
      <c r="A25" t="s">
        <v>56</v>
      </c>
      <c r="B25" s="2">
        <v>33</v>
      </c>
      <c r="C25" s="2">
        <v>77</v>
      </c>
      <c r="D25" s="2"/>
      <c r="E25" s="2">
        <v>33</v>
      </c>
      <c r="H25" s="2">
        <v>47</v>
      </c>
    </row>
    <row r="26" spans="1:17" x14ac:dyDescent="0.4">
      <c r="A26" t="s">
        <v>56</v>
      </c>
      <c r="B26" s="2">
        <v>28</v>
      </c>
      <c r="C26" s="2">
        <v>38</v>
      </c>
      <c r="D26" s="2"/>
      <c r="E26" s="2">
        <v>28</v>
      </c>
      <c r="H26" s="2">
        <v>64</v>
      </c>
    </row>
    <row r="27" spans="1:17" x14ac:dyDescent="0.4">
      <c r="A27" t="s">
        <v>56</v>
      </c>
      <c r="B27" s="2">
        <v>41</v>
      </c>
      <c r="C27" s="2">
        <v>33</v>
      </c>
      <c r="D27" s="2"/>
      <c r="E27" s="2">
        <v>41</v>
      </c>
      <c r="H27" s="2">
        <v>27</v>
      </c>
    </row>
    <row r="28" spans="1:17" x14ac:dyDescent="0.4">
      <c r="A28" t="s">
        <v>56</v>
      </c>
      <c r="B28" s="2">
        <v>47</v>
      </c>
      <c r="C28" s="2">
        <v>9</v>
      </c>
      <c r="D28" s="2"/>
      <c r="E28" s="2">
        <v>47</v>
      </c>
      <c r="H28" s="2">
        <v>57</v>
      </c>
    </row>
    <row r="29" spans="1:17" x14ac:dyDescent="0.4">
      <c r="A29" t="s">
        <v>56</v>
      </c>
      <c r="B29" s="2">
        <v>3</v>
      </c>
      <c r="C29" s="2">
        <v>31</v>
      </c>
      <c r="D29" s="2"/>
      <c r="E29" s="2">
        <v>3</v>
      </c>
      <c r="H29" s="2">
        <v>25</v>
      </c>
    </row>
    <row r="30" spans="1:17" x14ac:dyDescent="0.4">
      <c r="A30" t="s">
        <v>56</v>
      </c>
      <c r="B30" s="2">
        <v>30</v>
      </c>
      <c r="D30" s="2"/>
      <c r="E30" s="2">
        <v>30</v>
      </c>
      <c r="H30" s="2">
        <v>65</v>
      </c>
    </row>
    <row r="31" spans="1:17" x14ac:dyDescent="0.4">
      <c r="A31" t="s">
        <v>53</v>
      </c>
      <c r="B31" s="2">
        <v>63</v>
      </c>
      <c r="H31" s="2">
        <v>62</v>
      </c>
    </row>
    <row r="32" spans="1:17" x14ac:dyDescent="0.4">
      <c r="A32" t="s">
        <v>53</v>
      </c>
      <c r="B32" s="2">
        <v>50</v>
      </c>
      <c r="H32" s="2">
        <v>24</v>
      </c>
    </row>
    <row r="33" spans="1:8" x14ac:dyDescent="0.4">
      <c r="A33" t="s">
        <v>53</v>
      </c>
      <c r="B33" s="2">
        <v>37</v>
      </c>
      <c r="H33" s="2">
        <v>48</v>
      </c>
    </row>
    <row r="34" spans="1:8" x14ac:dyDescent="0.4">
      <c r="A34" t="s">
        <v>53</v>
      </c>
      <c r="B34" s="2">
        <v>53</v>
      </c>
    </row>
    <row r="35" spans="1:8" x14ac:dyDescent="0.4">
      <c r="A35" t="s">
        <v>53</v>
      </c>
      <c r="B35" s="2">
        <v>52</v>
      </c>
    </row>
    <row r="36" spans="1:8" x14ac:dyDescent="0.4">
      <c r="A36" t="s">
        <v>53</v>
      </c>
      <c r="B36" s="2">
        <v>16</v>
      </c>
    </row>
    <row r="37" spans="1:8" x14ac:dyDescent="0.4">
      <c r="A37" t="s">
        <v>53</v>
      </c>
      <c r="B37" s="2">
        <v>20</v>
      </c>
    </row>
    <row r="38" spans="1:8" x14ac:dyDescent="0.4">
      <c r="A38" t="s">
        <v>53</v>
      </c>
      <c r="B38" s="2">
        <v>59</v>
      </c>
    </row>
    <row r="39" spans="1:8" x14ac:dyDescent="0.4">
      <c r="A39" t="s">
        <v>53</v>
      </c>
      <c r="B39" s="2">
        <v>41</v>
      </c>
    </row>
    <row r="40" spans="1:8" x14ac:dyDescent="0.4">
      <c r="A40" t="s">
        <v>53</v>
      </c>
      <c r="B40" s="2">
        <v>51</v>
      </c>
    </row>
    <row r="41" spans="1:8" x14ac:dyDescent="0.4">
      <c r="A41" t="s">
        <v>53</v>
      </c>
      <c r="B41" s="2">
        <v>7</v>
      </c>
    </row>
    <row r="42" spans="1:8" x14ac:dyDescent="0.4">
      <c r="A42" t="s">
        <v>53</v>
      </c>
      <c r="B42" s="2">
        <v>44</v>
      </c>
    </row>
    <row r="43" spans="1:8" x14ac:dyDescent="0.4">
      <c r="A43" t="s">
        <v>53</v>
      </c>
      <c r="B43" s="2">
        <v>54</v>
      </c>
    </row>
    <row r="44" spans="1:8" x14ac:dyDescent="0.4">
      <c r="A44" t="s">
        <v>53</v>
      </c>
      <c r="B44" s="2">
        <v>5</v>
      </c>
    </row>
    <row r="45" spans="1:8" x14ac:dyDescent="0.4">
      <c r="A45" t="s">
        <v>53</v>
      </c>
      <c r="B45" s="2">
        <v>41</v>
      </c>
    </row>
    <row r="46" spans="1:8" x14ac:dyDescent="0.4">
      <c r="A46" t="s">
        <v>53</v>
      </c>
      <c r="B46" s="2">
        <v>3</v>
      </c>
    </row>
    <row r="47" spans="1:8" x14ac:dyDescent="0.4">
      <c r="A47" t="s">
        <v>53</v>
      </c>
      <c r="B47" s="2">
        <v>37</v>
      </c>
    </row>
    <row r="48" spans="1:8" x14ac:dyDescent="0.4">
      <c r="A48" t="s">
        <v>53</v>
      </c>
      <c r="B48" s="2">
        <v>54</v>
      </c>
    </row>
    <row r="49" spans="1:2" x14ac:dyDescent="0.4">
      <c r="A49" t="s">
        <v>47</v>
      </c>
      <c r="B49" s="2">
        <v>10</v>
      </c>
    </row>
    <row r="50" spans="1:2" x14ac:dyDescent="0.4">
      <c r="A50" t="s">
        <v>47</v>
      </c>
      <c r="B50" s="2">
        <v>41</v>
      </c>
    </row>
    <row r="51" spans="1:2" x14ac:dyDescent="0.4">
      <c r="A51" t="s">
        <v>47</v>
      </c>
      <c r="B51" s="2">
        <v>29</v>
      </c>
    </row>
    <row r="52" spans="1:2" x14ac:dyDescent="0.4">
      <c r="A52" t="s">
        <v>47</v>
      </c>
      <c r="B52" s="2">
        <v>80</v>
      </c>
    </row>
    <row r="53" spans="1:2" x14ac:dyDescent="0.4">
      <c r="A53" t="s">
        <v>47</v>
      </c>
      <c r="B53" s="2">
        <v>60</v>
      </c>
    </row>
    <row r="54" spans="1:2" x14ac:dyDescent="0.4">
      <c r="A54" t="s">
        <v>47</v>
      </c>
      <c r="B54" s="2">
        <v>17</v>
      </c>
    </row>
    <row r="55" spans="1:2" x14ac:dyDescent="0.4">
      <c r="A55" t="s">
        <v>47</v>
      </c>
      <c r="B55" s="2">
        <v>36</v>
      </c>
    </row>
    <row r="56" spans="1:2" x14ac:dyDescent="0.4">
      <c r="A56" t="s">
        <v>47</v>
      </c>
      <c r="B56" s="2">
        <v>62</v>
      </c>
    </row>
    <row r="57" spans="1:2" x14ac:dyDescent="0.4">
      <c r="A57" t="s">
        <v>47</v>
      </c>
      <c r="B57" s="2">
        <v>47</v>
      </c>
    </row>
    <row r="58" spans="1:2" x14ac:dyDescent="0.4">
      <c r="A58" t="s">
        <v>47</v>
      </c>
      <c r="B58" s="2">
        <v>18</v>
      </c>
    </row>
    <row r="59" spans="1:2" x14ac:dyDescent="0.4">
      <c r="A59" t="s">
        <v>47</v>
      </c>
      <c r="B59" s="2">
        <v>53</v>
      </c>
    </row>
    <row r="60" spans="1:2" x14ac:dyDescent="0.4">
      <c r="A60" t="s">
        <v>47</v>
      </c>
      <c r="B60" s="2">
        <v>52</v>
      </c>
    </row>
    <row r="61" spans="1:2" x14ac:dyDescent="0.4">
      <c r="A61" t="s">
        <v>47</v>
      </c>
      <c r="B61" s="2">
        <v>59</v>
      </c>
    </row>
    <row r="62" spans="1:2" x14ac:dyDescent="0.4">
      <c r="A62" t="s">
        <v>47</v>
      </c>
      <c r="B62" s="2">
        <v>66</v>
      </c>
    </row>
    <row r="63" spans="1:2" x14ac:dyDescent="0.4">
      <c r="A63" t="s">
        <v>47</v>
      </c>
      <c r="B63" s="2">
        <v>46</v>
      </c>
    </row>
    <row r="64" spans="1:2" x14ac:dyDescent="0.4">
      <c r="A64" t="s">
        <v>47</v>
      </c>
      <c r="B64" s="2">
        <v>63</v>
      </c>
    </row>
    <row r="65" spans="1:2" x14ac:dyDescent="0.4">
      <c r="A65" t="s">
        <v>47</v>
      </c>
      <c r="B65" s="2">
        <v>67</v>
      </c>
    </row>
    <row r="66" spans="1:2" x14ac:dyDescent="0.4">
      <c r="A66" t="s">
        <v>47</v>
      </c>
      <c r="B66" s="2">
        <v>63</v>
      </c>
    </row>
    <row r="67" spans="1:2" x14ac:dyDescent="0.4">
      <c r="A67" t="s">
        <v>47</v>
      </c>
      <c r="B67" s="2">
        <v>5</v>
      </c>
    </row>
    <row r="68" spans="1:2" x14ac:dyDescent="0.4">
      <c r="A68" t="s">
        <v>47</v>
      </c>
      <c r="B68" s="2">
        <v>58</v>
      </c>
    </row>
    <row r="69" spans="1:2" x14ac:dyDescent="0.4">
      <c r="A69" t="s">
        <v>47</v>
      </c>
      <c r="B69" s="2">
        <v>2</v>
      </c>
    </row>
    <row r="70" spans="1:2" x14ac:dyDescent="0.4">
      <c r="A70" t="s">
        <v>47</v>
      </c>
      <c r="B70" s="2">
        <v>61</v>
      </c>
    </row>
    <row r="71" spans="1:2" x14ac:dyDescent="0.4">
      <c r="A71" t="s">
        <v>47</v>
      </c>
      <c r="B71" s="2">
        <v>72</v>
      </c>
    </row>
    <row r="72" spans="1:2" x14ac:dyDescent="0.4">
      <c r="A72" t="s">
        <v>47</v>
      </c>
      <c r="B72" s="2">
        <v>77</v>
      </c>
    </row>
    <row r="73" spans="1:2" x14ac:dyDescent="0.4">
      <c r="A73" t="s">
        <v>47</v>
      </c>
      <c r="B73" s="2">
        <v>38</v>
      </c>
    </row>
    <row r="74" spans="1:2" x14ac:dyDescent="0.4">
      <c r="A74" t="s">
        <v>47</v>
      </c>
      <c r="B74" s="2">
        <v>33</v>
      </c>
    </row>
    <row r="75" spans="1:2" x14ac:dyDescent="0.4">
      <c r="A75" t="s">
        <v>47</v>
      </c>
      <c r="B75" s="2">
        <v>9</v>
      </c>
    </row>
    <row r="76" spans="1:2" x14ac:dyDescent="0.4">
      <c r="A76" t="s">
        <v>47</v>
      </c>
      <c r="B76" s="2">
        <v>31</v>
      </c>
    </row>
    <row r="77" spans="1:2" x14ac:dyDescent="0.4">
      <c r="A77" t="s">
        <v>66</v>
      </c>
      <c r="B77" s="2">
        <v>13</v>
      </c>
    </row>
    <row r="78" spans="1:2" x14ac:dyDescent="0.4">
      <c r="A78" t="s">
        <v>66</v>
      </c>
      <c r="B78" s="2">
        <v>6</v>
      </c>
    </row>
    <row r="79" spans="1:2" x14ac:dyDescent="0.4">
      <c r="A79" t="s">
        <v>66</v>
      </c>
      <c r="B79" s="2">
        <v>62</v>
      </c>
    </row>
    <row r="80" spans="1:2" x14ac:dyDescent="0.4">
      <c r="A80" t="s">
        <v>66</v>
      </c>
      <c r="B80" s="2">
        <v>38</v>
      </c>
    </row>
    <row r="81" spans="1:2" x14ac:dyDescent="0.4">
      <c r="A81" t="s">
        <v>66</v>
      </c>
      <c r="B81" s="2">
        <v>51</v>
      </c>
    </row>
    <row r="82" spans="1:2" x14ac:dyDescent="0.4">
      <c r="A82" t="s">
        <v>66</v>
      </c>
      <c r="B82" s="2">
        <v>18</v>
      </c>
    </row>
    <row r="83" spans="1:2" x14ac:dyDescent="0.4">
      <c r="A83" t="s">
        <v>66</v>
      </c>
      <c r="B83" s="2">
        <v>61</v>
      </c>
    </row>
    <row r="84" spans="1:2" x14ac:dyDescent="0.4">
      <c r="A84" t="s">
        <v>66</v>
      </c>
      <c r="B84" s="2">
        <v>12</v>
      </c>
    </row>
    <row r="85" spans="1:2" x14ac:dyDescent="0.4">
      <c r="A85" t="s">
        <v>66</v>
      </c>
      <c r="B85" s="2">
        <v>43</v>
      </c>
    </row>
    <row r="86" spans="1:2" x14ac:dyDescent="0.4">
      <c r="A86" t="s">
        <v>66</v>
      </c>
      <c r="B86" s="2">
        <v>54</v>
      </c>
    </row>
    <row r="87" spans="1:2" x14ac:dyDescent="0.4">
      <c r="A87" t="s">
        <v>66</v>
      </c>
      <c r="B87" s="2">
        <v>56</v>
      </c>
    </row>
    <row r="88" spans="1:2" x14ac:dyDescent="0.4">
      <c r="A88" t="s">
        <v>66</v>
      </c>
      <c r="B88" s="2">
        <v>12</v>
      </c>
    </row>
    <row r="89" spans="1:2" x14ac:dyDescent="0.4">
      <c r="A89" t="s">
        <v>66</v>
      </c>
      <c r="B89" s="2">
        <v>50</v>
      </c>
    </row>
    <row r="90" spans="1:2" x14ac:dyDescent="0.4">
      <c r="A90" t="s">
        <v>66</v>
      </c>
      <c r="B90" s="2">
        <v>43</v>
      </c>
    </row>
    <row r="91" spans="1:2" x14ac:dyDescent="0.4">
      <c r="A91" t="s">
        <v>66</v>
      </c>
      <c r="B91" s="2">
        <v>29</v>
      </c>
    </row>
    <row r="92" spans="1:2" x14ac:dyDescent="0.4">
      <c r="A92" t="s">
        <v>66</v>
      </c>
      <c r="B92" s="2">
        <v>55</v>
      </c>
    </row>
    <row r="93" spans="1:2" x14ac:dyDescent="0.4">
      <c r="A93" t="s">
        <v>66</v>
      </c>
      <c r="B93" s="2">
        <v>69</v>
      </c>
    </row>
    <row r="94" spans="1:2" x14ac:dyDescent="0.4">
      <c r="A94" t="s">
        <v>66</v>
      </c>
      <c r="B94" s="2">
        <v>63</v>
      </c>
    </row>
    <row r="95" spans="1:2" x14ac:dyDescent="0.4">
      <c r="A95" t="s">
        <v>66</v>
      </c>
      <c r="B95" s="2">
        <v>60</v>
      </c>
    </row>
    <row r="96" spans="1:2" x14ac:dyDescent="0.4">
      <c r="A96" t="s">
        <v>66</v>
      </c>
      <c r="B96" s="2">
        <v>21</v>
      </c>
    </row>
    <row r="97" spans="1:2" x14ac:dyDescent="0.4">
      <c r="A97" t="s">
        <v>66</v>
      </c>
      <c r="B97" s="2">
        <v>31</v>
      </c>
    </row>
    <row r="98" spans="1:2" x14ac:dyDescent="0.4">
      <c r="A98" t="s">
        <v>84</v>
      </c>
      <c r="B98" s="2">
        <v>45</v>
      </c>
    </row>
    <row r="99" spans="1:2" x14ac:dyDescent="0.4">
      <c r="A99" t="s">
        <v>84</v>
      </c>
      <c r="B99" s="2">
        <v>42</v>
      </c>
    </row>
    <row r="100" spans="1:2" x14ac:dyDescent="0.4">
      <c r="A100" t="s">
        <v>84</v>
      </c>
      <c r="B100" s="2">
        <v>78</v>
      </c>
    </row>
    <row r="101" spans="1:2" x14ac:dyDescent="0.4">
      <c r="A101" t="s">
        <v>84</v>
      </c>
      <c r="B101" s="2">
        <v>55</v>
      </c>
    </row>
    <row r="102" spans="1:2" x14ac:dyDescent="0.4">
      <c r="A102" t="s">
        <v>84</v>
      </c>
      <c r="B102" s="2">
        <v>19</v>
      </c>
    </row>
    <row r="103" spans="1:2" x14ac:dyDescent="0.4">
      <c r="A103" t="s">
        <v>84</v>
      </c>
      <c r="B103" s="2">
        <v>8</v>
      </c>
    </row>
    <row r="104" spans="1:2" x14ac:dyDescent="0.4">
      <c r="A104" t="s">
        <v>84</v>
      </c>
      <c r="B104" s="2">
        <v>57</v>
      </c>
    </row>
    <row r="105" spans="1:2" x14ac:dyDescent="0.4">
      <c r="A105" t="s">
        <v>84</v>
      </c>
      <c r="B105" s="2">
        <v>50</v>
      </c>
    </row>
    <row r="106" spans="1:2" x14ac:dyDescent="0.4">
      <c r="A106" t="s">
        <v>84</v>
      </c>
      <c r="B106" s="2">
        <v>43</v>
      </c>
    </row>
    <row r="107" spans="1:2" x14ac:dyDescent="0.4">
      <c r="A107" t="s">
        <v>84</v>
      </c>
      <c r="B107" s="2">
        <v>26</v>
      </c>
    </row>
    <row r="108" spans="1:2" x14ac:dyDescent="0.4">
      <c r="A108" t="s">
        <v>84</v>
      </c>
      <c r="B108" s="2">
        <v>49</v>
      </c>
    </row>
    <row r="109" spans="1:2" x14ac:dyDescent="0.4">
      <c r="A109" t="s">
        <v>84</v>
      </c>
      <c r="B109" s="2">
        <v>11</v>
      </c>
    </row>
    <row r="110" spans="1:2" x14ac:dyDescent="0.4">
      <c r="A110" t="s">
        <v>84</v>
      </c>
      <c r="B110" s="2">
        <v>38</v>
      </c>
    </row>
    <row r="111" spans="1:2" x14ac:dyDescent="0.4">
      <c r="A111" t="s">
        <v>84</v>
      </c>
      <c r="B111" s="2">
        <v>6</v>
      </c>
    </row>
    <row r="112" spans="1:2" x14ac:dyDescent="0.4">
      <c r="A112" t="s">
        <v>84</v>
      </c>
      <c r="B112" s="2">
        <v>27</v>
      </c>
    </row>
    <row r="113" spans="1:2" x14ac:dyDescent="0.4">
      <c r="A113" t="s">
        <v>84</v>
      </c>
      <c r="B113" s="2">
        <v>72</v>
      </c>
    </row>
    <row r="114" spans="1:2" x14ac:dyDescent="0.4">
      <c r="A114" t="s">
        <v>84</v>
      </c>
      <c r="B114" s="2">
        <v>53</v>
      </c>
    </row>
    <row r="115" spans="1:2" x14ac:dyDescent="0.4">
      <c r="A115" t="s">
        <v>84</v>
      </c>
      <c r="B115" s="2">
        <v>81</v>
      </c>
    </row>
    <row r="116" spans="1:2" x14ac:dyDescent="0.4">
      <c r="A116" t="s">
        <v>84</v>
      </c>
      <c r="B116" s="2">
        <v>50</v>
      </c>
    </row>
    <row r="117" spans="1:2" x14ac:dyDescent="0.4">
      <c r="A117" t="s">
        <v>84</v>
      </c>
      <c r="B117" s="2">
        <v>52</v>
      </c>
    </row>
    <row r="118" spans="1:2" x14ac:dyDescent="0.4">
      <c r="A118" t="s">
        <v>84</v>
      </c>
      <c r="B118" s="2">
        <v>44</v>
      </c>
    </row>
    <row r="119" spans="1:2" x14ac:dyDescent="0.4">
      <c r="A119" t="s">
        <v>61</v>
      </c>
      <c r="B119" s="2">
        <v>34</v>
      </c>
    </row>
    <row r="120" spans="1:2" x14ac:dyDescent="0.4">
      <c r="A120" t="s">
        <v>61</v>
      </c>
      <c r="B120" s="2">
        <v>68</v>
      </c>
    </row>
    <row r="121" spans="1:2" x14ac:dyDescent="0.4">
      <c r="A121" t="s">
        <v>61</v>
      </c>
      <c r="B121" s="2">
        <v>43</v>
      </c>
    </row>
    <row r="122" spans="1:2" x14ac:dyDescent="0.4">
      <c r="A122" t="s">
        <v>61</v>
      </c>
      <c r="B122" s="2">
        <v>77</v>
      </c>
    </row>
    <row r="123" spans="1:2" x14ac:dyDescent="0.4">
      <c r="A123" t="s">
        <v>61</v>
      </c>
      <c r="B123" s="2">
        <v>46</v>
      </c>
    </row>
    <row r="124" spans="1:2" x14ac:dyDescent="0.4">
      <c r="A124" t="s">
        <v>61</v>
      </c>
      <c r="B124" s="2">
        <v>56</v>
      </c>
    </row>
    <row r="125" spans="1:2" x14ac:dyDescent="0.4">
      <c r="A125" t="s">
        <v>61</v>
      </c>
      <c r="B125" s="2">
        <v>12</v>
      </c>
    </row>
    <row r="126" spans="1:2" x14ac:dyDescent="0.4">
      <c r="A126" t="s">
        <v>61</v>
      </c>
      <c r="B126" s="2">
        <v>44</v>
      </c>
    </row>
    <row r="127" spans="1:2" x14ac:dyDescent="0.4">
      <c r="A127" t="s">
        <v>61</v>
      </c>
      <c r="B127" s="2">
        <v>18</v>
      </c>
    </row>
    <row r="128" spans="1:2" x14ac:dyDescent="0.4">
      <c r="A128" t="s">
        <v>61</v>
      </c>
      <c r="B128" s="2">
        <v>23</v>
      </c>
    </row>
    <row r="129" spans="1:2" x14ac:dyDescent="0.4">
      <c r="A129" t="s">
        <v>61</v>
      </c>
      <c r="B129" s="2">
        <v>50</v>
      </c>
    </row>
    <row r="130" spans="1:2" x14ac:dyDescent="0.4">
      <c r="A130" t="s">
        <v>61</v>
      </c>
      <c r="B130" s="2">
        <v>8</v>
      </c>
    </row>
    <row r="131" spans="1:2" x14ac:dyDescent="0.4">
      <c r="A131" t="s">
        <v>61</v>
      </c>
      <c r="B131" s="2">
        <v>39</v>
      </c>
    </row>
    <row r="132" spans="1:2" x14ac:dyDescent="0.4">
      <c r="A132" t="s">
        <v>61</v>
      </c>
      <c r="B132" s="2">
        <v>54</v>
      </c>
    </row>
    <row r="133" spans="1:2" x14ac:dyDescent="0.4">
      <c r="A133" t="s">
        <v>61</v>
      </c>
      <c r="B133" s="2">
        <v>76</v>
      </c>
    </row>
    <row r="134" spans="1:2" x14ac:dyDescent="0.4">
      <c r="A134" t="s">
        <v>61</v>
      </c>
      <c r="B134" s="2">
        <v>50</v>
      </c>
    </row>
    <row r="135" spans="1:2" x14ac:dyDescent="0.4">
      <c r="A135" t="s">
        <v>61</v>
      </c>
      <c r="B135" s="2">
        <v>44</v>
      </c>
    </row>
    <row r="136" spans="1:2" x14ac:dyDescent="0.4">
      <c r="A136" t="s">
        <v>61</v>
      </c>
      <c r="B136" s="2">
        <v>65</v>
      </c>
    </row>
    <row r="137" spans="1:2" x14ac:dyDescent="0.4">
      <c r="A137" t="s">
        <v>61</v>
      </c>
      <c r="B137" s="2">
        <v>55</v>
      </c>
    </row>
    <row r="138" spans="1:2" x14ac:dyDescent="0.4">
      <c r="A138" t="s">
        <v>61</v>
      </c>
      <c r="B138" s="2">
        <v>39</v>
      </c>
    </row>
    <row r="139" spans="1:2" x14ac:dyDescent="0.4">
      <c r="A139" t="s">
        <v>61</v>
      </c>
      <c r="B139" s="2">
        <v>52</v>
      </c>
    </row>
    <row r="140" spans="1:2" x14ac:dyDescent="0.4">
      <c r="A140" t="s">
        <v>61</v>
      </c>
      <c r="B140" s="2">
        <v>69</v>
      </c>
    </row>
    <row r="141" spans="1:2" x14ac:dyDescent="0.4">
      <c r="A141" t="s">
        <v>61</v>
      </c>
      <c r="B141" s="2">
        <v>51</v>
      </c>
    </row>
    <row r="142" spans="1:2" x14ac:dyDescent="0.4">
      <c r="A142" t="s">
        <v>61</v>
      </c>
      <c r="B142" s="2">
        <v>47</v>
      </c>
    </row>
    <row r="143" spans="1:2" x14ac:dyDescent="0.4">
      <c r="A143" t="s">
        <v>61</v>
      </c>
      <c r="B143" s="2">
        <v>64</v>
      </c>
    </row>
    <row r="144" spans="1:2" x14ac:dyDescent="0.4">
      <c r="A144" t="s">
        <v>61</v>
      </c>
      <c r="B144" s="2">
        <v>27</v>
      </c>
    </row>
    <row r="145" spans="1:2" x14ac:dyDescent="0.4">
      <c r="A145" t="s">
        <v>61</v>
      </c>
      <c r="B145" s="2">
        <v>57</v>
      </c>
    </row>
    <row r="146" spans="1:2" x14ac:dyDescent="0.4">
      <c r="A146" t="s">
        <v>61</v>
      </c>
      <c r="B146" s="2">
        <v>25</v>
      </c>
    </row>
    <row r="147" spans="1:2" x14ac:dyDescent="0.4">
      <c r="A147" t="s">
        <v>61</v>
      </c>
      <c r="B147" s="2">
        <v>65</v>
      </c>
    </row>
    <row r="148" spans="1:2" x14ac:dyDescent="0.4">
      <c r="A148" t="s">
        <v>61</v>
      </c>
      <c r="B148" s="2">
        <v>62</v>
      </c>
    </row>
    <row r="149" spans="1:2" x14ac:dyDescent="0.4">
      <c r="A149" t="s">
        <v>61</v>
      </c>
      <c r="B149" s="2">
        <v>24</v>
      </c>
    </row>
    <row r="150" spans="1:2" x14ac:dyDescent="0.4">
      <c r="A150" t="s">
        <v>61</v>
      </c>
      <c r="B150" s="2">
        <v>48</v>
      </c>
    </row>
  </sheetData>
  <autoFilter ref="A1:A150" xr:uid="{192F505D-949C-4904-BC14-791D6E19CE76}">
    <sortState xmlns:xlrd2="http://schemas.microsoft.com/office/spreadsheetml/2017/richdata2" ref="A2:A150">
      <sortCondition ref="A1:A150"/>
    </sortState>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D359A-B208-4FDE-AC66-D680147DEABA}">
  <dimension ref="A1:N150"/>
  <sheetViews>
    <sheetView zoomScale="45" workbookViewId="0">
      <selection activeCell="J138" sqref="J138"/>
    </sheetView>
  </sheetViews>
  <sheetFormatPr defaultColWidth="8.83203125" defaultRowHeight="16" x14ac:dyDescent="0.4"/>
  <cols>
    <col min="1" max="1" width="9.6640625" style="22" customWidth="1"/>
    <col min="2" max="2" width="11.83203125" style="22" customWidth="1"/>
    <col min="3" max="3" width="8.6640625" style="22"/>
    <col min="4" max="7" width="8.83203125" style="22"/>
    <col min="8" max="8" width="13.5" style="22" customWidth="1"/>
    <col min="9" max="9" width="15" style="22" customWidth="1"/>
    <col min="10" max="10" width="11" style="22" customWidth="1"/>
    <col min="11" max="11" width="9.83203125" style="22" customWidth="1"/>
    <col min="12" max="12" width="8.6640625" style="22"/>
    <col min="13" max="13" width="10.33203125" style="22" customWidth="1"/>
    <col min="14" max="14" width="11.6640625" style="22" customWidth="1"/>
  </cols>
  <sheetData>
    <row r="1" spans="1:14" x14ac:dyDescent="0.4">
      <c r="A1" s="29" t="s">
        <v>38</v>
      </c>
      <c r="B1" s="28" t="s">
        <v>48</v>
      </c>
      <c r="C1" s="26" t="s">
        <v>19</v>
      </c>
      <c r="D1" s="26" t="s">
        <v>1908</v>
      </c>
      <c r="E1" s="26" t="s">
        <v>1927</v>
      </c>
      <c r="F1" s="26" t="s">
        <v>1907</v>
      </c>
      <c r="G1" s="26" t="s">
        <v>1926</v>
      </c>
      <c r="H1" s="25" t="s">
        <v>27</v>
      </c>
      <c r="I1" s="25" t="s">
        <v>32</v>
      </c>
      <c r="J1" s="25" t="s">
        <v>40</v>
      </c>
      <c r="K1" s="25" t="s">
        <v>22</v>
      </c>
      <c r="L1" s="26" t="s">
        <v>1904</v>
      </c>
      <c r="M1" s="25" t="s">
        <v>42</v>
      </c>
      <c r="N1" s="25" t="s">
        <v>25</v>
      </c>
    </row>
    <row r="2" spans="1:14" x14ac:dyDescent="0.4">
      <c r="A2" s="24" t="s">
        <v>48</v>
      </c>
      <c r="B2" s="22">
        <f t="shared" ref="B2:B33" si="0">IF($A2=B$1, 1, 0)</f>
        <v>1</v>
      </c>
      <c r="C2" s="22" t="s">
        <v>47</v>
      </c>
      <c r="D2" s="22">
        <f t="shared" ref="D2:D33" si="1">IF($C2=D$1, 1, 0)</f>
        <v>0</v>
      </c>
      <c r="E2" s="22">
        <f>G2</f>
        <v>0</v>
      </c>
      <c r="F2" s="22">
        <f t="shared" ref="F2:G21" si="2">IF($C2=F$1, 1, 0)</f>
        <v>0</v>
      </c>
      <c r="G2" s="22">
        <f t="shared" si="2"/>
        <v>0</v>
      </c>
      <c r="H2" s="24">
        <v>0.75800000000000001</v>
      </c>
      <c r="I2" s="24">
        <v>0.11600000000000001</v>
      </c>
      <c r="J2" s="23">
        <v>93</v>
      </c>
      <c r="K2" s="23">
        <v>1</v>
      </c>
      <c r="L2" s="22">
        <f t="shared" ref="L2:L21" si="3">IF($C2=L$1, 1, 0)</f>
        <v>1</v>
      </c>
      <c r="M2" s="23">
        <v>177</v>
      </c>
      <c r="N2" s="23">
        <v>54</v>
      </c>
    </row>
    <row r="3" spans="1:14" x14ac:dyDescent="0.4">
      <c r="A3" s="24" t="s">
        <v>48</v>
      </c>
      <c r="B3" s="22">
        <f t="shared" si="0"/>
        <v>1</v>
      </c>
      <c r="C3" s="22" t="s">
        <v>47</v>
      </c>
      <c r="D3" s="22">
        <f t="shared" si="1"/>
        <v>0</v>
      </c>
      <c r="E3" s="22">
        <f t="shared" ref="E3:E34" si="4">IF($C3=E$1, 1, 0)</f>
        <v>0</v>
      </c>
      <c r="F3" s="22">
        <f t="shared" si="2"/>
        <v>0</v>
      </c>
      <c r="G3" s="22">
        <f t="shared" si="2"/>
        <v>0</v>
      </c>
      <c r="H3" s="24">
        <v>0.50700000000000001</v>
      </c>
      <c r="I3" s="24">
        <v>1.8200000000000001E-2</v>
      </c>
      <c r="J3" s="23">
        <v>105</v>
      </c>
      <c r="K3" s="23">
        <v>9</v>
      </c>
      <c r="L3" s="22">
        <f t="shared" si="3"/>
        <v>1</v>
      </c>
      <c r="M3" s="23">
        <v>244</v>
      </c>
      <c r="N3" s="23">
        <v>74</v>
      </c>
    </row>
    <row r="4" spans="1:14" x14ac:dyDescent="0.4">
      <c r="A4" s="24" t="s">
        <v>48</v>
      </c>
      <c r="B4" s="22">
        <f t="shared" si="0"/>
        <v>1</v>
      </c>
      <c r="C4" s="22" t="s">
        <v>53</v>
      </c>
      <c r="D4" s="22">
        <f t="shared" si="1"/>
        <v>0</v>
      </c>
      <c r="E4" s="22">
        <f t="shared" si="4"/>
        <v>0</v>
      </c>
      <c r="F4" s="22">
        <f t="shared" si="2"/>
        <v>0</v>
      </c>
      <c r="G4" s="22">
        <f t="shared" si="2"/>
        <v>1</v>
      </c>
      <c r="H4" s="24">
        <v>0.71199999999999997</v>
      </c>
      <c r="I4" s="24">
        <v>0.30599999999999999</v>
      </c>
      <c r="J4" s="23">
        <v>150</v>
      </c>
      <c r="K4" s="23">
        <v>2</v>
      </c>
      <c r="L4" s="22">
        <f t="shared" si="3"/>
        <v>0</v>
      </c>
      <c r="M4" s="23">
        <v>224</v>
      </c>
      <c r="N4" s="23">
        <v>47</v>
      </c>
    </row>
    <row r="5" spans="1:14" x14ac:dyDescent="0.4">
      <c r="A5" s="24" t="s">
        <v>48</v>
      </c>
      <c r="B5" s="22">
        <f t="shared" si="0"/>
        <v>1</v>
      </c>
      <c r="C5" s="22" t="s">
        <v>56</v>
      </c>
      <c r="D5" s="22">
        <f t="shared" si="1"/>
        <v>0</v>
      </c>
      <c r="E5" s="22">
        <f t="shared" si="4"/>
        <v>1</v>
      </c>
      <c r="F5" s="22">
        <f t="shared" si="2"/>
        <v>0</v>
      </c>
      <c r="G5" s="22">
        <f t="shared" si="2"/>
        <v>0</v>
      </c>
      <c r="H5" s="24">
        <v>0.51800000000000002</v>
      </c>
      <c r="I5" s="24">
        <v>2.2599999999999999E-2</v>
      </c>
      <c r="J5" s="23">
        <v>128</v>
      </c>
      <c r="K5" s="23">
        <v>1</v>
      </c>
      <c r="L5" s="22">
        <f t="shared" si="3"/>
        <v>0</v>
      </c>
      <c r="M5" s="23">
        <v>234</v>
      </c>
      <c r="N5" s="23">
        <v>44</v>
      </c>
    </row>
    <row r="6" spans="1:14" x14ac:dyDescent="0.4">
      <c r="A6" s="24" t="s">
        <v>48</v>
      </c>
      <c r="B6" s="22">
        <f t="shared" si="0"/>
        <v>1</v>
      </c>
      <c r="C6" s="22" t="s">
        <v>53</v>
      </c>
      <c r="D6" s="22">
        <f t="shared" si="1"/>
        <v>0</v>
      </c>
      <c r="E6" s="22">
        <f t="shared" si="4"/>
        <v>0</v>
      </c>
      <c r="F6" s="22">
        <f t="shared" si="2"/>
        <v>0</v>
      </c>
      <c r="G6" s="22">
        <f t="shared" si="2"/>
        <v>1</v>
      </c>
      <c r="H6" s="24">
        <v>0.73399999999999999</v>
      </c>
      <c r="I6" s="24">
        <v>8.1399999999999997E-3</v>
      </c>
      <c r="J6" s="23">
        <v>83</v>
      </c>
      <c r="K6" s="23">
        <v>1</v>
      </c>
      <c r="L6" s="22">
        <f t="shared" si="3"/>
        <v>0</v>
      </c>
      <c r="M6" s="23">
        <v>177</v>
      </c>
      <c r="N6" s="23">
        <v>61</v>
      </c>
    </row>
    <row r="7" spans="1:14" x14ac:dyDescent="0.4">
      <c r="A7" s="24" t="s">
        <v>48</v>
      </c>
      <c r="B7" s="22">
        <f t="shared" si="0"/>
        <v>1</v>
      </c>
      <c r="C7" s="22" t="s">
        <v>61</v>
      </c>
      <c r="D7" s="22">
        <f t="shared" si="1"/>
        <v>0</v>
      </c>
      <c r="E7" s="22">
        <f t="shared" si="4"/>
        <v>0</v>
      </c>
      <c r="F7" s="22">
        <f t="shared" si="2"/>
        <v>0</v>
      </c>
      <c r="G7" s="22">
        <f t="shared" si="2"/>
        <v>0</v>
      </c>
      <c r="H7" s="24">
        <v>0.65600000000000003</v>
      </c>
      <c r="I7" s="24">
        <v>4.5999999999999999E-2</v>
      </c>
      <c r="J7" s="23">
        <v>145</v>
      </c>
      <c r="K7" s="23">
        <v>45</v>
      </c>
      <c r="L7" s="22">
        <f t="shared" si="3"/>
        <v>0</v>
      </c>
      <c r="M7" s="23">
        <v>169</v>
      </c>
      <c r="N7" s="23">
        <v>10</v>
      </c>
    </row>
    <row r="8" spans="1:14" x14ac:dyDescent="0.4">
      <c r="A8" s="24" t="s">
        <v>48</v>
      </c>
      <c r="B8" s="22">
        <f t="shared" si="0"/>
        <v>1</v>
      </c>
      <c r="C8" s="22" t="s">
        <v>61</v>
      </c>
      <c r="D8" s="22">
        <f t="shared" si="1"/>
        <v>0</v>
      </c>
      <c r="E8" s="22">
        <f t="shared" si="4"/>
        <v>0</v>
      </c>
      <c r="F8" s="22">
        <f t="shared" si="2"/>
        <v>0</v>
      </c>
      <c r="G8" s="22">
        <f t="shared" si="2"/>
        <v>0</v>
      </c>
      <c r="H8" s="24">
        <v>0.498</v>
      </c>
      <c r="I8" s="24">
        <v>0.32</v>
      </c>
      <c r="J8" s="23">
        <v>101</v>
      </c>
      <c r="K8" s="23">
        <v>13</v>
      </c>
      <c r="L8" s="22">
        <f t="shared" si="3"/>
        <v>0</v>
      </c>
      <c r="M8" s="23">
        <v>170</v>
      </c>
      <c r="N8" s="23">
        <v>1</v>
      </c>
    </row>
    <row r="9" spans="1:14" x14ac:dyDescent="0.4">
      <c r="A9" s="24" t="s">
        <v>67</v>
      </c>
      <c r="B9" s="22">
        <f t="shared" si="0"/>
        <v>0</v>
      </c>
      <c r="C9" s="22" t="s">
        <v>66</v>
      </c>
      <c r="D9" s="22">
        <f t="shared" si="1"/>
        <v>0</v>
      </c>
      <c r="E9" s="22">
        <f t="shared" si="4"/>
        <v>0</v>
      </c>
      <c r="F9" s="22">
        <f t="shared" si="2"/>
        <v>1</v>
      </c>
      <c r="G9" s="22">
        <f t="shared" si="2"/>
        <v>0</v>
      </c>
      <c r="H9" s="24">
        <v>0.62</v>
      </c>
      <c r="I9" s="24">
        <v>0.29699999999999999</v>
      </c>
      <c r="J9" s="23">
        <v>87</v>
      </c>
      <c r="K9" s="23">
        <v>3</v>
      </c>
      <c r="L9" s="22">
        <f t="shared" si="3"/>
        <v>0</v>
      </c>
      <c r="M9" s="23">
        <v>220</v>
      </c>
      <c r="N9" s="23">
        <v>30</v>
      </c>
    </row>
    <row r="10" spans="1:14" x14ac:dyDescent="0.4">
      <c r="A10" s="24" t="s">
        <v>48</v>
      </c>
      <c r="B10" s="22">
        <f t="shared" si="0"/>
        <v>1</v>
      </c>
      <c r="C10" s="22" t="s">
        <v>47</v>
      </c>
      <c r="D10" s="22">
        <f t="shared" si="1"/>
        <v>0</v>
      </c>
      <c r="E10" s="22">
        <f t="shared" si="4"/>
        <v>0</v>
      </c>
      <c r="F10" s="22">
        <f t="shared" si="2"/>
        <v>0</v>
      </c>
      <c r="G10" s="22">
        <f t="shared" si="2"/>
        <v>0</v>
      </c>
      <c r="H10" s="24">
        <v>0.64600000000000002</v>
      </c>
      <c r="I10" s="24">
        <v>5.21E-2</v>
      </c>
      <c r="J10" s="23">
        <v>112</v>
      </c>
      <c r="K10" s="23">
        <v>1</v>
      </c>
      <c r="L10" s="22">
        <f t="shared" si="3"/>
        <v>1</v>
      </c>
      <c r="M10" s="23">
        <v>234</v>
      </c>
      <c r="N10" s="23">
        <v>31</v>
      </c>
    </row>
    <row r="11" spans="1:14" x14ac:dyDescent="0.4">
      <c r="A11" s="24" t="s">
        <v>48</v>
      </c>
      <c r="B11" s="22">
        <f t="shared" si="0"/>
        <v>1</v>
      </c>
      <c r="C11" s="22" t="s">
        <v>61</v>
      </c>
      <c r="D11" s="22">
        <f t="shared" si="1"/>
        <v>0</v>
      </c>
      <c r="E11" s="22">
        <f t="shared" si="4"/>
        <v>0</v>
      </c>
      <c r="F11" s="22">
        <f t="shared" si="2"/>
        <v>0</v>
      </c>
      <c r="G11" s="22">
        <f t="shared" si="2"/>
        <v>0</v>
      </c>
      <c r="H11" s="24">
        <v>0.754</v>
      </c>
      <c r="I11" s="24">
        <v>0.153</v>
      </c>
      <c r="J11" s="23">
        <v>126</v>
      </c>
      <c r="K11" s="23">
        <v>44</v>
      </c>
      <c r="L11" s="22">
        <f t="shared" si="3"/>
        <v>0</v>
      </c>
      <c r="M11" s="23">
        <v>215</v>
      </c>
      <c r="N11" s="23">
        <v>77</v>
      </c>
    </row>
    <row r="12" spans="1:14" x14ac:dyDescent="0.4">
      <c r="A12" s="24" t="s">
        <v>48</v>
      </c>
      <c r="B12" s="22">
        <f t="shared" si="0"/>
        <v>1</v>
      </c>
      <c r="C12" s="22" t="s">
        <v>61</v>
      </c>
      <c r="D12" s="22">
        <f t="shared" si="1"/>
        <v>0</v>
      </c>
      <c r="E12" s="22">
        <f t="shared" si="4"/>
        <v>0</v>
      </c>
      <c r="F12" s="22">
        <f t="shared" si="2"/>
        <v>0</v>
      </c>
      <c r="G12" s="22">
        <f t="shared" si="2"/>
        <v>0</v>
      </c>
      <c r="H12" s="24">
        <v>0.28000000000000003</v>
      </c>
      <c r="I12" s="24">
        <v>2.3199999999999998E-2</v>
      </c>
      <c r="J12" s="23">
        <v>100</v>
      </c>
      <c r="K12" s="23">
        <v>16</v>
      </c>
      <c r="L12" s="22">
        <f t="shared" si="3"/>
        <v>0</v>
      </c>
      <c r="M12" s="23">
        <v>406</v>
      </c>
      <c r="N12" s="23">
        <v>4</v>
      </c>
    </row>
    <row r="13" spans="1:14" x14ac:dyDescent="0.4">
      <c r="A13" s="24" t="s">
        <v>48</v>
      </c>
      <c r="B13" s="22">
        <f t="shared" si="0"/>
        <v>1</v>
      </c>
      <c r="C13" s="22" t="s">
        <v>61</v>
      </c>
      <c r="D13" s="22">
        <f t="shared" si="1"/>
        <v>0</v>
      </c>
      <c r="E13" s="22">
        <f t="shared" si="4"/>
        <v>0</v>
      </c>
      <c r="F13" s="22">
        <f t="shared" si="2"/>
        <v>0</v>
      </c>
      <c r="G13" s="22">
        <f t="shared" si="2"/>
        <v>0</v>
      </c>
      <c r="H13" s="24">
        <v>0.44400000000000001</v>
      </c>
      <c r="I13" s="24">
        <v>1.1199999999999999E-3</v>
      </c>
      <c r="J13" s="23">
        <v>106</v>
      </c>
      <c r="K13" s="23">
        <v>32</v>
      </c>
      <c r="L13" s="22">
        <f t="shared" si="3"/>
        <v>0</v>
      </c>
      <c r="M13" s="23">
        <v>447</v>
      </c>
      <c r="N13" s="23">
        <v>14</v>
      </c>
    </row>
    <row r="14" spans="1:14" x14ac:dyDescent="0.4">
      <c r="A14" s="24" t="s">
        <v>67</v>
      </c>
      <c r="B14" s="22">
        <f t="shared" si="0"/>
        <v>0</v>
      </c>
      <c r="C14" s="22" t="s">
        <v>66</v>
      </c>
      <c r="D14" s="22">
        <f t="shared" si="1"/>
        <v>0</v>
      </c>
      <c r="E14" s="22">
        <f t="shared" si="4"/>
        <v>0</v>
      </c>
      <c r="F14" s="22">
        <f t="shared" si="2"/>
        <v>1</v>
      </c>
      <c r="G14" s="22">
        <f t="shared" si="2"/>
        <v>0</v>
      </c>
      <c r="H14" s="24">
        <v>0.55000000000000004</v>
      </c>
      <c r="I14" s="24">
        <v>9.5700000000000004E-3</v>
      </c>
      <c r="J14" s="23">
        <v>118</v>
      </c>
      <c r="K14" s="23">
        <v>4</v>
      </c>
      <c r="L14" s="22">
        <f t="shared" si="3"/>
        <v>0</v>
      </c>
      <c r="M14" s="23">
        <v>379</v>
      </c>
      <c r="N14" s="23">
        <v>2</v>
      </c>
    </row>
    <row r="15" spans="1:14" x14ac:dyDescent="0.4">
      <c r="A15" s="24" t="s">
        <v>48</v>
      </c>
      <c r="B15" s="22">
        <f t="shared" si="0"/>
        <v>1</v>
      </c>
      <c r="C15" s="22" t="s">
        <v>47</v>
      </c>
      <c r="D15" s="22">
        <f t="shared" si="1"/>
        <v>0</v>
      </c>
      <c r="E15" s="22">
        <f t="shared" si="4"/>
        <v>0</v>
      </c>
      <c r="F15" s="22">
        <f t="shared" si="2"/>
        <v>0</v>
      </c>
      <c r="G15" s="22">
        <f t="shared" si="2"/>
        <v>0</v>
      </c>
      <c r="H15" s="24">
        <v>0.72199999999999998</v>
      </c>
      <c r="I15" s="24">
        <v>1.0200000000000001E-2</v>
      </c>
      <c r="J15" s="23">
        <v>122</v>
      </c>
      <c r="K15" s="23">
        <v>5</v>
      </c>
      <c r="L15" s="22">
        <f t="shared" si="3"/>
        <v>1</v>
      </c>
      <c r="M15" s="23">
        <v>236</v>
      </c>
      <c r="N15" s="23">
        <v>53</v>
      </c>
    </row>
    <row r="16" spans="1:14" x14ac:dyDescent="0.4">
      <c r="A16" s="24" t="s">
        <v>48</v>
      </c>
      <c r="B16" s="22">
        <f t="shared" si="0"/>
        <v>1</v>
      </c>
      <c r="C16" s="22" t="s">
        <v>47</v>
      </c>
      <c r="D16" s="22">
        <f t="shared" si="1"/>
        <v>0</v>
      </c>
      <c r="E16" s="22">
        <f t="shared" si="4"/>
        <v>0</v>
      </c>
      <c r="F16" s="22">
        <f t="shared" si="2"/>
        <v>0</v>
      </c>
      <c r="G16" s="22">
        <f t="shared" si="2"/>
        <v>0</v>
      </c>
      <c r="H16" s="24">
        <v>0.69</v>
      </c>
      <c r="I16" s="24">
        <v>0.253</v>
      </c>
      <c r="J16" s="23">
        <v>102</v>
      </c>
      <c r="K16" s="23">
        <v>3</v>
      </c>
      <c r="L16" s="22">
        <f t="shared" si="3"/>
        <v>1</v>
      </c>
      <c r="M16" s="23">
        <v>210</v>
      </c>
      <c r="N16" s="23">
        <v>79</v>
      </c>
    </row>
    <row r="17" spans="1:14" x14ac:dyDescent="0.4">
      <c r="A17" s="24" t="s">
        <v>48</v>
      </c>
      <c r="B17" s="22">
        <f t="shared" si="0"/>
        <v>1</v>
      </c>
      <c r="C17" s="22" t="s">
        <v>84</v>
      </c>
      <c r="D17" s="22">
        <f t="shared" si="1"/>
        <v>1</v>
      </c>
      <c r="E17" s="22">
        <f t="shared" si="4"/>
        <v>0</v>
      </c>
      <c r="F17" s="22">
        <f t="shared" si="2"/>
        <v>0</v>
      </c>
      <c r="G17" s="22">
        <f t="shared" si="2"/>
        <v>0</v>
      </c>
      <c r="H17" s="24">
        <v>0.38700000000000001</v>
      </c>
      <c r="I17" s="24">
        <v>4.1599999999999998E-2</v>
      </c>
      <c r="J17" s="23">
        <v>79</v>
      </c>
      <c r="K17" s="23">
        <v>10</v>
      </c>
      <c r="L17" s="22">
        <f t="shared" si="3"/>
        <v>0</v>
      </c>
      <c r="M17" s="23">
        <v>318</v>
      </c>
      <c r="N17" s="23">
        <v>28</v>
      </c>
    </row>
    <row r="18" spans="1:14" x14ac:dyDescent="0.4">
      <c r="A18" s="24" t="s">
        <v>48</v>
      </c>
      <c r="B18" s="22">
        <f t="shared" si="0"/>
        <v>1</v>
      </c>
      <c r="C18" s="22" t="s">
        <v>53</v>
      </c>
      <c r="D18" s="22">
        <f t="shared" si="1"/>
        <v>0</v>
      </c>
      <c r="E18" s="22">
        <f t="shared" si="4"/>
        <v>0</v>
      </c>
      <c r="F18" s="22">
        <f t="shared" si="2"/>
        <v>0</v>
      </c>
      <c r="G18" s="22">
        <f t="shared" si="2"/>
        <v>1</v>
      </c>
      <c r="H18" s="24">
        <v>0.70299999999999996</v>
      </c>
      <c r="I18" s="24">
        <v>0.53500000000000003</v>
      </c>
      <c r="J18" s="23">
        <v>93</v>
      </c>
      <c r="K18" s="23">
        <v>15</v>
      </c>
      <c r="L18" s="22">
        <f t="shared" si="3"/>
        <v>0</v>
      </c>
      <c r="M18" s="23">
        <v>267</v>
      </c>
      <c r="N18" s="23">
        <v>52</v>
      </c>
    </row>
    <row r="19" spans="1:14" x14ac:dyDescent="0.4">
      <c r="A19" s="24" t="s">
        <v>48</v>
      </c>
      <c r="B19" s="22">
        <f t="shared" si="0"/>
        <v>1</v>
      </c>
      <c r="C19" s="22" t="s">
        <v>53</v>
      </c>
      <c r="D19" s="22">
        <f t="shared" si="1"/>
        <v>0</v>
      </c>
      <c r="E19" s="22">
        <f t="shared" si="4"/>
        <v>0</v>
      </c>
      <c r="F19" s="22">
        <f t="shared" si="2"/>
        <v>0</v>
      </c>
      <c r="G19" s="22">
        <f t="shared" si="2"/>
        <v>1</v>
      </c>
      <c r="H19" s="24">
        <v>0.65100000000000002</v>
      </c>
      <c r="I19" s="24">
        <v>0.19400000000000001</v>
      </c>
      <c r="J19" s="23">
        <v>162</v>
      </c>
      <c r="K19" s="23">
        <v>1</v>
      </c>
      <c r="L19" s="22">
        <f t="shared" si="3"/>
        <v>0</v>
      </c>
      <c r="M19" s="23">
        <v>236</v>
      </c>
      <c r="N19" s="23">
        <v>32</v>
      </c>
    </row>
    <row r="20" spans="1:14" x14ac:dyDescent="0.4">
      <c r="A20" s="24" t="s">
        <v>48</v>
      </c>
      <c r="B20" s="22">
        <f t="shared" si="0"/>
        <v>1</v>
      </c>
      <c r="C20" s="22" t="s">
        <v>53</v>
      </c>
      <c r="D20" s="22">
        <f t="shared" si="1"/>
        <v>0</v>
      </c>
      <c r="E20" s="22">
        <f t="shared" si="4"/>
        <v>0</v>
      </c>
      <c r="F20" s="22">
        <f t="shared" si="2"/>
        <v>0</v>
      </c>
      <c r="G20" s="22">
        <f t="shared" si="2"/>
        <v>1</v>
      </c>
      <c r="H20" s="24">
        <v>0.66700000000000004</v>
      </c>
      <c r="I20" s="24">
        <v>0.13200000000000001</v>
      </c>
      <c r="J20" s="23">
        <v>174</v>
      </c>
      <c r="K20" s="23">
        <v>4</v>
      </c>
      <c r="L20" s="22">
        <f t="shared" si="3"/>
        <v>0</v>
      </c>
      <c r="M20" s="23">
        <v>191</v>
      </c>
      <c r="N20" s="23">
        <v>37</v>
      </c>
    </row>
    <row r="21" spans="1:14" x14ac:dyDescent="0.4">
      <c r="A21" s="24" t="s">
        <v>67</v>
      </c>
      <c r="B21" s="22">
        <f t="shared" si="0"/>
        <v>0</v>
      </c>
      <c r="C21" s="22" t="s">
        <v>47</v>
      </c>
      <c r="D21" s="22">
        <f t="shared" si="1"/>
        <v>0</v>
      </c>
      <c r="E21" s="22">
        <f t="shared" si="4"/>
        <v>0</v>
      </c>
      <c r="F21" s="22">
        <f t="shared" si="2"/>
        <v>0</v>
      </c>
      <c r="G21" s="22">
        <f t="shared" si="2"/>
        <v>0</v>
      </c>
      <c r="H21" s="24">
        <v>0.65200000000000002</v>
      </c>
      <c r="I21" s="24">
        <v>0.56200000000000006</v>
      </c>
      <c r="J21" s="23">
        <v>132</v>
      </c>
      <c r="K21" s="23">
        <v>0</v>
      </c>
      <c r="L21" s="22">
        <f t="shared" si="3"/>
        <v>1</v>
      </c>
      <c r="M21" s="23">
        <v>213</v>
      </c>
      <c r="N21" s="23">
        <v>37</v>
      </c>
    </row>
    <row r="22" spans="1:14" x14ac:dyDescent="0.4">
      <c r="A22" s="24" t="s">
        <v>48</v>
      </c>
      <c r="B22" s="22">
        <f t="shared" si="0"/>
        <v>1</v>
      </c>
      <c r="C22" s="22" t="s">
        <v>61</v>
      </c>
      <c r="D22" s="22">
        <f t="shared" si="1"/>
        <v>0</v>
      </c>
      <c r="E22" s="22">
        <f t="shared" si="4"/>
        <v>0</v>
      </c>
      <c r="F22" s="22">
        <f t="shared" ref="F22:G41" si="5">IF($C22=F$1, 1, 0)</f>
        <v>0</v>
      </c>
      <c r="G22" s="22">
        <f t="shared" si="5"/>
        <v>0</v>
      </c>
      <c r="H22" s="24">
        <v>0.64200000000000002</v>
      </c>
      <c r="I22" s="24">
        <v>0.60699999999999998</v>
      </c>
      <c r="J22" s="23">
        <v>127</v>
      </c>
      <c r="K22" s="23">
        <v>35</v>
      </c>
      <c r="L22" s="22">
        <f t="shared" ref="L22:L41" si="6">IF($C22=L$1, 1, 0)</f>
        <v>0</v>
      </c>
      <c r="M22" s="23">
        <v>220</v>
      </c>
      <c r="N22" s="23">
        <v>29</v>
      </c>
    </row>
    <row r="23" spans="1:14" x14ac:dyDescent="0.4">
      <c r="A23" s="24" t="s">
        <v>48</v>
      </c>
      <c r="B23" s="22">
        <f t="shared" si="0"/>
        <v>1</v>
      </c>
      <c r="C23" s="22" t="s">
        <v>61</v>
      </c>
      <c r="D23" s="22">
        <f t="shared" si="1"/>
        <v>0</v>
      </c>
      <c r="E23" s="22">
        <f t="shared" si="4"/>
        <v>0</v>
      </c>
      <c r="F23" s="22">
        <f t="shared" si="5"/>
        <v>0</v>
      </c>
      <c r="G23" s="22">
        <f t="shared" si="5"/>
        <v>0</v>
      </c>
      <c r="H23" s="24">
        <v>0.27300000000000002</v>
      </c>
      <c r="I23" s="24">
        <v>2.41E-2</v>
      </c>
      <c r="J23" s="23">
        <v>82</v>
      </c>
      <c r="K23" s="23">
        <v>30</v>
      </c>
      <c r="L23" s="22">
        <f t="shared" si="6"/>
        <v>0</v>
      </c>
      <c r="M23" s="23">
        <v>287</v>
      </c>
      <c r="N23" s="23">
        <v>59</v>
      </c>
    </row>
    <row r="24" spans="1:14" x14ac:dyDescent="0.4">
      <c r="A24" s="24" t="s">
        <v>48</v>
      </c>
      <c r="B24" s="22">
        <f t="shared" si="0"/>
        <v>1</v>
      </c>
      <c r="C24" s="22" t="s">
        <v>56</v>
      </c>
      <c r="D24" s="22">
        <f t="shared" si="1"/>
        <v>0</v>
      </c>
      <c r="E24" s="22">
        <f t="shared" si="4"/>
        <v>1</v>
      </c>
      <c r="F24" s="22">
        <f t="shared" si="5"/>
        <v>0</v>
      </c>
      <c r="G24" s="22">
        <f t="shared" si="5"/>
        <v>0</v>
      </c>
      <c r="H24" s="24">
        <v>0.57099999999999995</v>
      </c>
      <c r="I24" s="24">
        <v>1.14E-2</v>
      </c>
      <c r="J24" s="23">
        <v>150</v>
      </c>
      <c r="K24" s="23">
        <v>1</v>
      </c>
      <c r="L24" s="22">
        <f t="shared" si="6"/>
        <v>0</v>
      </c>
      <c r="M24" s="23">
        <v>253</v>
      </c>
      <c r="N24" s="23">
        <v>63</v>
      </c>
    </row>
    <row r="25" spans="1:14" x14ac:dyDescent="0.4">
      <c r="A25" s="24" t="s">
        <v>48</v>
      </c>
      <c r="B25" s="22">
        <f t="shared" si="0"/>
        <v>1</v>
      </c>
      <c r="C25" s="22" t="s">
        <v>61</v>
      </c>
      <c r="D25" s="22">
        <f t="shared" si="1"/>
        <v>0</v>
      </c>
      <c r="E25" s="22">
        <f t="shared" si="4"/>
        <v>0</v>
      </c>
      <c r="F25" s="22">
        <f t="shared" si="5"/>
        <v>0</v>
      </c>
      <c r="G25" s="22">
        <f t="shared" si="5"/>
        <v>0</v>
      </c>
      <c r="H25" s="24">
        <v>0.54100000000000004</v>
      </c>
      <c r="I25" s="24">
        <v>4.7500000000000001E-2</v>
      </c>
      <c r="J25" s="23">
        <v>140</v>
      </c>
      <c r="K25" s="23">
        <v>38</v>
      </c>
      <c r="L25" s="22">
        <f t="shared" si="6"/>
        <v>0</v>
      </c>
      <c r="M25" s="23">
        <v>341</v>
      </c>
      <c r="N25" s="23">
        <v>33</v>
      </c>
    </row>
    <row r="26" spans="1:14" x14ac:dyDescent="0.4">
      <c r="A26" s="24" t="s">
        <v>48</v>
      </c>
      <c r="B26" s="22">
        <f t="shared" si="0"/>
        <v>1</v>
      </c>
      <c r="C26" s="22" t="s">
        <v>84</v>
      </c>
      <c r="D26" s="22">
        <f t="shared" si="1"/>
        <v>1</v>
      </c>
      <c r="E26" s="22">
        <f t="shared" si="4"/>
        <v>0</v>
      </c>
      <c r="F26" s="22">
        <f t="shared" si="5"/>
        <v>0</v>
      </c>
      <c r="G26" s="22">
        <f t="shared" si="5"/>
        <v>0</v>
      </c>
      <c r="H26" s="24">
        <v>0.74</v>
      </c>
      <c r="I26" s="24">
        <v>0.129</v>
      </c>
      <c r="J26" s="23">
        <v>85</v>
      </c>
      <c r="K26" s="23">
        <v>2</v>
      </c>
      <c r="L26" s="22">
        <f t="shared" si="6"/>
        <v>0</v>
      </c>
      <c r="M26" s="23">
        <v>295</v>
      </c>
      <c r="N26" s="23">
        <v>28</v>
      </c>
    </row>
    <row r="27" spans="1:14" x14ac:dyDescent="0.4">
      <c r="A27" s="24" t="s">
        <v>48</v>
      </c>
      <c r="B27" s="22">
        <f t="shared" si="0"/>
        <v>1</v>
      </c>
      <c r="C27" s="22" t="s">
        <v>61</v>
      </c>
      <c r="D27" s="22">
        <f t="shared" si="1"/>
        <v>0</v>
      </c>
      <c r="E27" s="22">
        <f t="shared" si="4"/>
        <v>0</v>
      </c>
      <c r="F27" s="22">
        <f t="shared" si="5"/>
        <v>0</v>
      </c>
      <c r="G27" s="22">
        <f t="shared" si="5"/>
        <v>0</v>
      </c>
      <c r="H27" s="24">
        <v>0.495</v>
      </c>
      <c r="I27" s="24">
        <v>7.3000000000000001E-3</v>
      </c>
      <c r="J27" s="23">
        <v>92</v>
      </c>
      <c r="K27" s="23">
        <v>1</v>
      </c>
      <c r="L27" s="22">
        <f t="shared" si="6"/>
        <v>0</v>
      </c>
      <c r="M27" s="23">
        <v>203</v>
      </c>
      <c r="N27" s="23">
        <v>41</v>
      </c>
    </row>
    <row r="28" spans="1:14" x14ac:dyDescent="0.4">
      <c r="A28" s="24" t="s">
        <v>48</v>
      </c>
      <c r="B28" s="22">
        <f t="shared" si="0"/>
        <v>1</v>
      </c>
      <c r="C28" s="22" t="s">
        <v>56</v>
      </c>
      <c r="D28" s="22">
        <f t="shared" si="1"/>
        <v>0</v>
      </c>
      <c r="E28" s="22">
        <f t="shared" si="4"/>
        <v>1</v>
      </c>
      <c r="F28" s="22">
        <f t="shared" si="5"/>
        <v>0</v>
      </c>
      <c r="G28" s="22">
        <f t="shared" si="5"/>
        <v>0</v>
      </c>
      <c r="H28" s="24">
        <v>0.59799999999999998</v>
      </c>
      <c r="I28" s="24">
        <v>9.3800000000000003E-5</v>
      </c>
      <c r="J28" s="23">
        <v>140</v>
      </c>
      <c r="K28" s="23">
        <v>1</v>
      </c>
      <c r="L28" s="22">
        <f t="shared" si="6"/>
        <v>0</v>
      </c>
      <c r="M28" s="23">
        <v>174</v>
      </c>
      <c r="N28" s="23">
        <v>47</v>
      </c>
    </row>
    <row r="29" spans="1:14" x14ac:dyDescent="0.4">
      <c r="A29" s="24" t="s">
        <v>48</v>
      </c>
      <c r="B29" s="22">
        <f t="shared" si="0"/>
        <v>1</v>
      </c>
      <c r="C29" s="22" t="s">
        <v>61</v>
      </c>
      <c r="D29" s="22">
        <f t="shared" si="1"/>
        <v>0</v>
      </c>
      <c r="E29" s="22">
        <f t="shared" si="4"/>
        <v>0</v>
      </c>
      <c r="F29" s="22">
        <f t="shared" si="5"/>
        <v>0</v>
      </c>
      <c r="G29" s="22">
        <f t="shared" si="5"/>
        <v>0</v>
      </c>
      <c r="H29" s="24">
        <v>0.55200000000000005</v>
      </c>
      <c r="I29" s="24">
        <v>0.38300000000000001</v>
      </c>
      <c r="J29" s="23">
        <v>128</v>
      </c>
      <c r="K29" s="23">
        <v>24</v>
      </c>
      <c r="L29" s="22">
        <f t="shared" si="6"/>
        <v>0</v>
      </c>
      <c r="M29" s="23">
        <v>346</v>
      </c>
      <c r="N29" s="23">
        <v>3</v>
      </c>
    </row>
    <row r="30" spans="1:14" x14ac:dyDescent="0.4">
      <c r="A30" s="24" t="s">
        <v>48</v>
      </c>
      <c r="B30" s="22">
        <f t="shared" si="0"/>
        <v>1</v>
      </c>
      <c r="C30" s="22" t="s">
        <v>56</v>
      </c>
      <c r="D30" s="22">
        <f t="shared" si="1"/>
        <v>0</v>
      </c>
      <c r="E30" s="22">
        <f t="shared" si="4"/>
        <v>1</v>
      </c>
      <c r="F30" s="22">
        <f t="shared" si="5"/>
        <v>0</v>
      </c>
      <c r="G30" s="22">
        <f t="shared" si="5"/>
        <v>0</v>
      </c>
      <c r="H30" s="24">
        <v>0.71199999999999997</v>
      </c>
      <c r="I30" s="24">
        <v>3.7399999999999998E-3</v>
      </c>
      <c r="J30" s="23">
        <v>126</v>
      </c>
      <c r="K30" s="23">
        <v>1</v>
      </c>
      <c r="L30" s="22">
        <f t="shared" si="6"/>
        <v>0</v>
      </c>
      <c r="M30" s="23">
        <v>166</v>
      </c>
      <c r="N30" s="23">
        <v>30</v>
      </c>
    </row>
    <row r="31" spans="1:14" x14ac:dyDescent="0.4">
      <c r="A31" s="24" t="s">
        <v>48</v>
      </c>
      <c r="B31" s="22">
        <f t="shared" si="0"/>
        <v>1</v>
      </c>
      <c r="C31" s="22" t="s">
        <v>47</v>
      </c>
      <c r="D31" s="22">
        <f t="shared" si="1"/>
        <v>0</v>
      </c>
      <c r="E31" s="22">
        <f t="shared" si="4"/>
        <v>0</v>
      </c>
      <c r="F31" s="22">
        <f t="shared" si="5"/>
        <v>0</v>
      </c>
      <c r="G31" s="22">
        <f t="shared" si="5"/>
        <v>0</v>
      </c>
      <c r="H31" s="24">
        <v>0.51400000000000001</v>
      </c>
      <c r="I31" s="24">
        <v>0.20799999999999999</v>
      </c>
      <c r="J31" s="23">
        <v>95</v>
      </c>
      <c r="K31" s="23">
        <v>8</v>
      </c>
      <c r="L31" s="22">
        <f t="shared" si="6"/>
        <v>1</v>
      </c>
      <c r="M31" s="23">
        <v>234</v>
      </c>
      <c r="N31" s="23">
        <v>63</v>
      </c>
    </row>
    <row r="32" spans="1:14" x14ac:dyDescent="0.4">
      <c r="A32" s="24" t="s">
        <v>48</v>
      </c>
      <c r="B32" s="22">
        <f t="shared" si="0"/>
        <v>1</v>
      </c>
      <c r="C32" s="22" t="s">
        <v>84</v>
      </c>
      <c r="D32" s="22">
        <f t="shared" si="1"/>
        <v>1</v>
      </c>
      <c r="E32" s="22">
        <f t="shared" si="4"/>
        <v>0</v>
      </c>
      <c r="F32" s="22">
        <f t="shared" si="5"/>
        <v>0</v>
      </c>
      <c r="G32" s="22">
        <f t="shared" si="5"/>
        <v>0</v>
      </c>
      <c r="H32" s="24">
        <v>0.72299999999999998</v>
      </c>
      <c r="I32" s="24">
        <v>8.1899999999999994E-3</v>
      </c>
      <c r="J32" s="23">
        <v>168</v>
      </c>
      <c r="K32" s="23">
        <v>1</v>
      </c>
      <c r="L32" s="22">
        <f t="shared" si="6"/>
        <v>0</v>
      </c>
      <c r="M32" s="23">
        <v>151</v>
      </c>
      <c r="N32" s="23">
        <v>50</v>
      </c>
    </row>
    <row r="33" spans="1:14" x14ac:dyDescent="0.4">
      <c r="A33" s="24" t="s">
        <v>48</v>
      </c>
      <c r="B33" s="22">
        <f t="shared" si="0"/>
        <v>1</v>
      </c>
      <c r="C33" s="22" t="s">
        <v>56</v>
      </c>
      <c r="D33" s="22">
        <f t="shared" si="1"/>
        <v>0</v>
      </c>
      <c r="E33" s="22">
        <f t="shared" si="4"/>
        <v>1</v>
      </c>
      <c r="F33" s="22">
        <f t="shared" si="5"/>
        <v>0</v>
      </c>
      <c r="G33" s="22">
        <f t="shared" si="5"/>
        <v>0</v>
      </c>
      <c r="H33" s="24">
        <v>0.57799999999999996</v>
      </c>
      <c r="I33" s="24">
        <v>3.48E-3</v>
      </c>
      <c r="J33" s="23">
        <v>120</v>
      </c>
      <c r="K33" s="23">
        <v>1</v>
      </c>
      <c r="L33" s="22">
        <f t="shared" si="6"/>
        <v>0</v>
      </c>
      <c r="M33" s="23">
        <v>227</v>
      </c>
      <c r="N33" s="23">
        <v>37</v>
      </c>
    </row>
    <row r="34" spans="1:14" x14ac:dyDescent="0.4">
      <c r="A34" s="24" t="s">
        <v>48</v>
      </c>
      <c r="B34" s="22">
        <f t="shared" ref="B34:B65" si="7">IF($A34=B$1, 1, 0)</f>
        <v>1</v>
      </c>
      <c r="C34" s="22" t="s">
        <v>84</v>
      </c>
      <c r="D34" s="22">
        <f t="shared" ref="D34:D65" si="8">IF($C34=D$1, 1, 0)</f>
        <v>1</v>
      </c>
      <c r="E34" s="22">
        <f t="shared" si="4"/>
        <v>0</v>
      </c>
      <c r="F34" s="22">
        <f t="shared" si="5"/>
        <v>0</v>
      </c>
      <c r="G34" s="22">
        <f t="shared" si="5"/>
        <v>0</v>
      </c>
      <c r="H34" s="24">
        <v>0.93500000000000005</v>
      </c>
      <c r="I34" s="24">
        <v>0.315</v>
      </c>
      <c r="J34" s="23">
        <v>128</v>
      </c>
      <c r="K34" s="23">
        <v>1</v>
      </c>
      <c r="L34" s="22">
        <f t="shared" si="6"/>
        <v>0</v>
      </c>
      <c r="M34" s="23">
        <v>143</v>
      </c>
      <c r="N34" s="23">
        <v>53</v>
      </c>
    </row>
    <row r="35" spans="1:14" x14ac:dyDescent="0.4">
      <c r="A35" s="24" t="s">
        <v>48</v>
      </c>
      <c r="B35" s="22">
        <f t="shared" si="7"/>
        <v>1</v>
      </c>
      <c r="C35" s="22" t="s">
        <v>84</v>
      </c>
      <c r="D35" s="22">
        <f t="shared" si="8"/>
        <v>1</v>
      </c>
      <c r="E35" s="22">
        <f t="shared" ref="E35:E66" si="9">IF($C35=E$1, 1, 0)</f>
        <v>0</v>
      </c>
      <c r="F35" s="22">
        <f t="shared" si="5"/>
        <v>0</v>
      </c>
      <c r="G35" s="22">
        <f t="shared" si="5"/>
        <v>0</v>
      </c>
      <c r="H35" s="24">
        <v>0.94799999999999995</v>
      </c>
      <c r="I35" s="24">
        <v>9.2400000000000002E-4</v>
      </c>
      <c r="J35" s="23">
        <v>100</v>
      </c>
      <c r="K35" s="23">
        <v>19</v>
      </c>
      <c r="L35" s="22">
        <f t="shared" si="6"/>
        <v>0</v>
      </c>
      <c r="M35" s="23">
        <v>259</v>
      </c>
      <c r="N35" s="23">
        <v>52</v>
      </c>
    </row>
    <row r="36" spans="1:14" x14ac:dyDescent="0.4">
      <c r="A36" s="24" t="s">
        <v>48</v>
      </c>
      <c r="B36" s="22">
        <f t="shared" si="7"/>
        <v>1</v>
      </c>
      <c r="C36" s="22" t="s">
        <v>53</v>
      </c>
      <c r="D36" s="22">
        <f t="shared" si="8"/>
        <v>0</v>
      </c>
      <c r="E36" s="22">
        <f t="shared" si="9"/>
        <v>0</v>
      </c>
      <c r="F36" s="22">
        <f t="shared" si="5"/>
        <v>0</v>
      </c>
      <c r="G36" s="22">
        <f t="shared" si="5"/>
        <v>1</v>
      </c>
      <c r="H36" s="24">
        <v>0.69099999999999995</v>
      </c>
      <c r="I36" s="24">
        <v>0.32200000000000001</v>
      </c>
      <c r="J36" s="23">
        <v>154</v>
      </c>
      <c r="K36" s="23">
        <v>1</v>
      </c>
      <c r="L36" s="22">
        <f t="shared" si="6"/>
        <v>0</v>
      </c>
      <c r="M36" s="23">
        <v>218</v>
      </c>
      <c r="N36" s="23">
        <v>16</v>
      </c>
    </row>
    <row r="37" spans="1:14" x14ac:dyDescent="0.4">
      <c r="A37" s="24" t="s">
        <v>48</v>
      </c>
      <c r="B37" s="22">
        <f t="shared" si="7"/>
        <v>1</v>
      </c>
      <c r="C37" s="22" t="s">
        <v>66</v>
      </c>
      <c r="D37" s="22">
        <f t="shared" si="8"/>
        <v>0</v>
      </c>
      <c r="E37" s="22">
        <f t="shared" si="9"/>
        <v>0</v>
      </c>
      <c r="F37" s="22">
        <f t="shared" si="5"/>
        <v>1</v>
      </c>
      <c r="G37" s="22">
        <f t="shared" si="5"/>
        <v>0</v>
      </c>
      <c r="H37" s="24">
        <v>0.58899999999999997</v>
      </c>
      <c r="I37" s="24">
        <v>0.24299999999999999</v>
      </c>
      <c r="J37" s="23">
        <v>97</v>
      </c>
      <c r="K37" s="23">
        <v>1</v>
      </c>
      <c r="L37" s="22">
        <f t="shared" si="6"/>
        <v>0</v>
      </c>
      <c r="M37" s="23">
        <v>292</v>
      </c>
      <c r="N37" s="23">
        <v>20</v>
      </c>
    </row>
    <row r="38" spans="1:14" x14ac:dyDescent="0.4">
      <c r="A38" s="24" t="s">
        <v>48</v>
      </c>
      <c r="B38" s="22">
        <f t="shared" si="7"/>
        <v>1</v>
      </c>
      <c r="C38" s="22" t="s">
        <v>66</v>
      </c>
      <c r="D38" s="22">
        <f t="shared" si="8"/>
        <v>0</v>
      </c>
      <c r="E38" s="22">
        <f t="shared" si="9"/>
        <v>0</v>
      </c>
      <c r="F38" s="22">
        <f t="shared" si="5"/>
        <v>1</v>
      </c>
      <c r="G38" s="22">
        <f t="shared" si="5"/>
        <v>0</v>
      </c>
      <c r="H38" s="24">
        <v>0.48399999999999999</v>
      </c>
      <c r="I38" s="24">
        <v>0.79500000000000004</v>
      </c>
      <c r="J38" s="23">
        <v>141</v>
      </c>
      <c r="K38" s="23">
        <v>50</v>
      </c>
      <c r="L38" s="22">
        <f t="shared" si="6"/>
        <v>0</v>
      </c>
      <c r="M38" s="23">
        <v>201</v>
      </c>
      <c r="N38" s="23">
        <v>59</v>
      </c>
    </row>
    <row r="39" spans="1:14" x14ac:dyDescent="0.4">
      <c r="A39" s="24" t="s">
        <v>48</v>
      </c>
      <c r="B39" s="22">
        <f t="shared" si="7"/>
        <v>1</v>
      </c>
      <c r="C39" s="22" t="s">
        <v>66</v>
      </c>
      <c r="D39" s="22">
        <f t="shared" si="8"/>
        <v>0</v>
      </c>
      <c r="E39" s="22">
        <f t="shared" si="9"/>
        <v>0</v>
      </c>
      <c r="F39" s="22">
        <f t="shared" si="5"/>
        <v>1</v>
      </c>
      <c r="G39" s="22">
        <f t="shared" si="5"/>
        <v>0</v>
      </c>
      <c r="H39" s="24">
        <v>0.54300000000000004</v>
      </c>
      <c r="I39" s="24">
        <v>6.6299999999999996E-4</v>
      </c>
      <c r="J39" s="23">
        <v>174</v>
      </c>
      <c r="K39" s="23">
        <v>6</v>
      </c>
      <c r="L39" s="22">
        <f t="shared" si="6"/>
        <v>0</v>
      </c>
      <c r="M39" s="23">
        <v>293</v>
      </c>
      <c r="N39" s="23">
        <v>41</v>
      </c>
    </row>
    <row r="40" spans="1:14" x14ac:dyDescent="0.4">
      <c r="A40" s="24" t="s">
        <v>48</v>
      </c>
      <c r="B40" s="22">
        <f t="shared" si="7"/>
        <v>1</v>
      </c>
      <c r="C40" s="22" t="s">
        <v>47</v>
      </c>
      <c r="D40" s="22">
        <f t="shared" si="8"/>
        <v>0</v>
      </c>
      <c r="E40" s="22">
        <f t="shared" si="9"/>
        <v>0</v>
      </c>
      <c r="F40" s="22">
        <f t="shared" si="5"/>
        <v>0</v>
      </c>
      <c r="G40" s="22">
        <f t="shared" si="5"/>
        <v>0</v>
      </c>
      <c r="H40" s="24">
        <v>0.61399999999999999</v>
      </c>
      <c r="I40" s="24">
        <v>0.45100000000000001</v>
      </c>
      <c r="J40" s="23">
        <v>117</v>
      </c>
      <c r="K40" s="23">
        <v>0</v>
      </c>
      <c r="L40" s="22">
        <f t="shared" si="6"/>
        <v>1</v>
      </c>
      <c r="M40" s="23">
        <v>207</v>
      </c>
      <c r="N40" s="23">
        <v>51</v>
      </c>
    </row>
    <row r="41" spans="1:14" x14ac:dyDescent="0.4">
      <c r="A41" s="24" t="s">
        <v>67</v>
      </c>
      <c r="B41" s="22">
        <f t="shared" si="7"/>
        <v>0</v>
      </c>
      <c r="C41" s="22" t="s">
        <v>84</v>
      </c>
      <c r="D41" s="22">
        <f t="shared" si="8"/>
        <v>1</v>
      </c>
      <c r="E41" s="22">
        <f t="shared" si="9"/>
        <v>0</v>
      </c>
      <c r="F41" s="22">
        <f t="shared" si="5"/>
        <v>0</v>
      </c>
      <c r="G41" s="22">
        <f t="shared" si="5"/>
        <v>0</v>
      </c>
      <c r="H41" s="24">
        <v>0.86899999999999999</v>
      </c>
      <c r="I41" s="24">
        <v>3.7400000000000003E-2</v>
      </c>
      <c r="J41" s="23">
        <v>92</v>
      </c>
      <c r="K41" s="23">
        <v>1</v>
      </c>
      <c r="L41" s="22">
        <f t="shared" si="6"/>
        <v>0</v>
      </c>
      <c r="M41" s="23">
        <v>162</v>
      </c>
      <c r="N41" s="23">
        <v>7</v>
      </c>
    </row>
    <row r="42" spans="1:14" x14ac:dyDescent="0.4">
      <c r="A42" s="24" t="s">
        <v>48</v>
      </c>
      <c r="B42" s="22">
        <f t="shared" si="7"/>
        <v>1</v>
      </c>
      <c r="C42" s="22" t="s">
        <v>61</v>
      </c>
      <c r="D42" s="22">
        <f t="shared" si="8"/>
        <v>0</v>
      </c>
      <c r="E42" s="22">
        <f t="shared" si="9"/>
        <v>0</v>
      </c>
      <c r="F42" s="22">
        <f t="shared" ref="F42:G61" si="10">IF($C42=F$1, 1, 0)</f>
        <v>0</v>
      </c>
      <c r="G42" s="22">
        <f t="shared" si="10"/>
        <v>0</v>
      </c>
      <c r="H42" s="24">
        <v>0.434</v>
      </c>
      <c r="I42" s="24">
        <v>6.2200000000000005E-4</v>
      </c>
      <c r="J42" s="23">
        <v>170</v>
      </c>
      <c r="K42" s="23">
        <v>16</v>
      </c>
      <c r="L42" s="22">
        <f t="shared" ref="L42:L61" si="11">IF($C42=L$1, 1, 0)</f>
        <v>0</v>
      </c>
      <c r="M42" s="23">
        <v>204</v>
      </c>
      <c r="N42" s="23">
        <v>44</v>
      </c>
    </row>
    <row r="43" spans="1:14" x14ac:dyDescent="0.4">
      <c r="A43" s="24" t="s">
        <v>48</v>
      </c>
      <c r="B43" s="22">
        <f t="shared" si="7"/>
        <v>1</v>
      </c>
      <c r="C43" s="22" t="s">
        <v>66</v>
      </c>
      <c r="D43" s="22">
        <f t="shared" si="8"/>
        <v>0</v>
      </c>
      <c r="E43" s="22">
        <f t="shared" si="9"/>
        <v>0</v>
      </c>
      <c r="F43" s="22">
        <f t="shared" si="10"/>
        <v>1</v>
      </c>
      <c r="G43" s="22">
        <f t="shared" si="10"/>
        <v>0</v>
      </c>
      <c r="H43" s="24">
        <v>0.67600000000000005</v>
      </c>
      <c r="I43" s="24">
        <v>3.6200000000000002E-4</v>
      </c>
      <c r="J43" s="23">
        <v>130</v>
      </c>
      <c r="K43" s="23">
        <v>4</v>
      </c>
      <c r="L43" s="22">
        <f t="shared" si="11"/>
        <v>0</v>
      </c>
      <c r="M43" s="23">
        <v>214</v>
      </c>
      <c r="N43" s="23">
        <v>54</v>
      </c>
    </row>
    <row r="44" spans="1:14" x14ac:dyDescent="0.4">
      <c r="A44" s="24" t="s">
        <v>48</v>
      </c>
      <c r="B44" s="22">
        <f t="shared" si="7"/>
        <v>1</v>
      </c>
      <c r="C44" s="22" t="s">
        <v>84</v>
      </c>
      <c r="D44" s="22">
        <f t="shared" si="8"/>
        <v>1</v>
      </c>
      <c r="E44" s="22">
        <f t="shared" si="9"/>
        <v>0</v>
      </c>
      <c r="F44" s="22">
        <f t="shared" si="10"/>
        <v>0</v>
      </c>
      <c r="G44" s="22">
        <f t="shared" si="10"/>
        <v>0</v>
      </c>
      <c r="H44" s="24">
        <v>0.70499999999999996</v>
      </c>
      <c r="I44" s="24">
        <v>1.37E-2</v>
      </c>
      <c r="J44" s="23">
        <v>170</v>
      </c>
      <c r="K44" s="23">
        <v>21</v>
      </c>
      <c r="L44" s="22">
        <f t="shared" si="11"/>
        <v>0</v>
      </c>
      <c r="M44" s="23">
        <v>234</v>
      </c>
      <c r="N44" s="23">
        <v>5</v>
      </c>
    </row>
    <row r="45" spans="1:14" x14ac:dyDescent="0.4">
      <c r="A45" s="24" t="s">
        <v>48</v>
      </c>
      <c r="B45" s="22">
        <f t="shared" si="7"/>
        <v>1</v>
      </c>
      <c r="C45" s="22" t="s">
        <v>84</v>
      </c>
      <c r="D45" s="22">
        <f t="shared" si="8"/>
        <v>1</v>
      </c>
      <c r="E45" s="22">
        <f t="shared" si="9"/>
        <v>0</v>
      </c>
      <c r="F45" s="22">
        <f t="shared" si="10"/>
        <v>0</v>
      </c>
      <c r="G45" s="22">
        <f t="shared" si="10"/>
        <v>0</v>
      </c>
      <c r="H45" s="24">
        <v>0.64400000000000002</v>
      </c>
      <c r="I45" s="24">
        <v>3.29E-3</v>
      </c>
      <c r="J45" s="23">
        <v>109</v>
      </c>
      <c r="K45" s="23">
        <v>3</v>
      </c>
      <c r="L45" s="22">
        <f t="shared" si="11"/>
        <v>0</v>
      </c>
      <c r="M45" s="23">
        <v>125</v>
      </c>
      <c r="N45" s="23">
        <v>41</v>
      </c>
    </row>
    <row r="46" spans="1:14" x14ac:dyDescent="0.4">
      <c r="A46" s="24" t="s">
        <v>48</v>
      </c>
      <c r="B46" s="22">
        <f t="shared" si="7"/>
        <v>1</v>
      </c>
      <c r="C46" s="22" t="s">
        <v>84</v>
      </c>
      <c r="D46" s="22">
        <f t="shared" si="8"/>
        <v>1</v>
      </c>
      <c r="E46" s="22">
        <f t="shared" si="9"/>
        <v>0</v>
      </c>
      <c r="F46" s="22">
        <f t="shared" si="10"/>
        <v>0</v>
      </c>
      <c r="G46" s="22">
        <f t="shared" si="10"/>
        <v>0</v>
      </c>
      <c r="H46" s="24">
        <v>0.28599999999999998</v>
      </c>
      <c r="I46" s="24">
        <v>4.6499999999999999E-5</v>
      </c>
      <c r="J46" s="23">
        <v>87</v>
      </c>
      <c r="K46" s="23">
        <v>19</v>
      </c>
      <c r="L46" s="22">
        <f t="shared" si="11"/>
        <v>0</v>
      </c>
      <c r="M46" s="23">
        <v>364</v>
      </c>
      <c r="N46" s="23">
        <v>3</v>
      </c>
    </row>
    <row r="47" spans="1:14" x14ac:dyDescent="0.4">
      <c r="A47" s="24" t="s">
        <v>48</v>
      </c>
      <c r="B47" s="22">
        <f t="shared" si="7"/>
        <v>1</v>
      </c>
      <c r="C47" s="22" t="s">
        <v>56</v>
      </c>
      <c r="D47" s="22">
        <f t="shared" si="8"/>
        <v>0</v>
      </c>
      <c r="E47" s="22">
        <f t="shared" si="9"/>
        <v>1</v>
      </c>
      <c r="F47" s="22">
        <f t="shared" si="10"/>
        <v>0</v>
      </c>
      <c r="G47" s="22">
        <f t="shared" si="10"/>
        <v>0</v>
      </c>
      <c r="H47" s="24">
        <v>0.72599999999999998</v>
      </c>
      <c r="I47" s="24">
        <v>2.1600000000000001E-2</v>
      </c>
      <c r="J47" s="23">
        <v>128</v>
      </c>
      <c r="K47" s="23">
        <v>6</v>
      </c>
      <c r="L47" s="22">
        <f t="shared" si="11"/>
        <v>0</v>
      </c>
      <c r="M47" s="23">
        <v>214</v>
      </c>
      <c r="N47" s="23">
        <v>37</v>
      </c>
    </row>
    <row r="48" spans="1:14" x14ac:dyDescent="0.4">
      <c r="A48" s="24" t="s">
        <v>48</v>
      </c>
      <c r="B48" s="22">
        <f t="shared" si="7"/>
        <v>1</v>
      </c>
      <c r="C48" s="22" t="s">
        <v>56</v>
      </c>
      <c r="D48" s="22">
        <f t="shared" si="8"/>
        <v>0</v>
      </c>
      <c r="E48" s="22">
        <f t="shared" si="9"/>
        <v>1</v>
      </c>
      <c r="F48" s="22">
        <f t="shared" si="10"/>
        <v>0</v>
      </c>
      <c r="G48" s="22">
        <f t="shared" si="10"/>
        <v>0</v>
      </c>
      <c r="H48" s="24">
        <v>0.52100000000000002</v>
      </c>
      <c r="I48" s="24">
        <v>2.47E-3</v>
      </c>
      <c r="J48" s="23">
        <v>126</v>
      </c>
      <c r="K48" s="23">
        <v>0</v>
      </c>
      <c r="L48" s="22">
        <f t="shared" si="11"/>
        <v>0</v>
      </c>
      <c r="M48" s="23">
        <v>220</v>
      </c>
      <c r="N48" s="23">
        <v>54</v>
      </c>
    </row>
    <row r="49" spans="1:14" x14ac:dyDescent="0.4">
      <c r="A49" s="24" t="s">
        <v>67</v>
      </c>
      <c r="B49" s="22">
        <f t="shared" si="7"/>
        <v>0</v>
      </c>
      <c r="C49" s="22" t="s">
        <v>61</v>
      </c>
      <c r="D49" s="22">
        <f t="shared" si="8"/>
        <v>0</v>
      </c>
      <c r="E49" s="22">
        <f t="shared" si="9"/>
        <v>0</v>
      </c>
      <c r="F49" s="22">
        <f t="shared" si="10"/>
        <v>0</v>
      </c>
      <c r="G49" s="22">
        <f t="shared" si="10"/>
        <v>0</v>
      </c>
      <c r="H49" s="24">
        <v>0.28999999999999998</v>
      </c>
      <c r="I49" s="24">
        <v>1.2800000000000001E-3</v>
      </c>
      <c r="J49" s="23">
        <v>90</v>
      </c>
      <c r="K49" s="23">
        <v>3</v>
      </c>
      <c r="L49" s="22">
        <f t="shared" si="11"/>
        <v>0</v>
      </c>
      <c r="M49" s="23">
        <v>300</v>
      </c>
      <c r="N49" s="23">
        <v>10</v>
      </c>
    </row>
    <row r="50" spans="1:14" x14ac:dyDescent="0.4">
      <c r="A50" s="24" t="s">
        <v>48</v>
      </c>
      <c r="B50" s="22">
        <f t="shared" si="7"/>
        <v>1</v>
      </c>
      <c r="C50" s="22" t="s">
        <v>56</v>
      </c>
      <c r="D50" s="22">
        <f t="shared" si="8"/>
        <v>0</v>
      </c>
      <c r="E50" s="22">
        <f t="shared" si="9"/>
        <v>1</v>
      </c>
      <c r="F50" s="22">
        <f t="shared" si="10"/>
        <v>0</v>
      </c>
      <c r="G50" s="22">
        <f t="shared" si="10"/>
        <v>0</v>
      </c>
      <c r="H50" s="24">
        <v>0.58099999999999996</v>
      </c>
      <c r="I50" s="24">
        <v>7.4700000000000003E-2</v>
      </c>
      <c r="J50" s="23">
        <v>142</v>
      </c>
      <c r="K50" s="23">
        <v>1</v>
      </c>
      <c r="L50" s="22">
        <f t="shared" si="11"/>
        <v>0</v>
      </c>
      <c r="M50" s="23">
        <v>226</v>
      </c>
      <c r="N50" s="23">
        <v>41</v>
      </c>
    </row>
    <row r="51" spans="1:14" x14ac:dyDescent="0.4">
      <c r="A51" s="24" t="s">
        <v>48</v>
      </c>
      <c r="B51" s="22">
        <f t="shared" si="7"/>
        <v>1</v>
      </c>
      <c r="C51" s="22" t="s">
        <v>61</v>
      </c>
      <c r="D51" s="22">
        <f t="shared" si="8"/>
        <v>0</v>
      </c>
      <c r="E51" s="22">
        <f t="shared" si="9"/>
        <v>0</v>
      </c>
      <c r="F51" s="22">
        <f t="shared" si="10"/>
        <v>0</v>
      </c>
      <c r="G51" s="22">
        <f t="shared" si="10"/>
        <v>0</v>
      </c>
      <c r="H51" s="24">
        <v>0.16200000000000001</v>
      </c>
      <c r="I51" s="24">
        <v>8.2600000000000002E-5</v>
      </c>
      <c r="J51" s="23">
        <v>180</v>
      </c>
      <c r="K51" s="23">
        <v>1</v>
      </c>
      <c r="L51" s="22">
        <f t="shared" si="11"/>
        <v>0</v>
      </c>
      <c r="M51" s="23">
        <v>318</v>
      </c>
      <c r="N51" s="23">
        <v>29</v>
      </c>
    </row>
    <row r="52" spans="1:14" x14ac:dyDescent="0.4">
      <c r="A52" s="24" t="s">
        <v>67</v>
      </c>
      <c r="B52" s="22">
        <f t="shared" si="7"/>
        <v>0</v>
      </c>
      <c r="C52" s="22" t="s">
        <v>47</v>
      </c>
      <c r="D52" s="22">
        <f t="shared" si="8"/>
        <v>0</v>
      </c>
      <c r="E52" s="22">
        <f t="shared" si="9"/>
        <v>0</v>
      </c>
      <c r="F52" s="22">
        <f t="shared" si="10"/>
        <v>0</v>
      </c>
      <c r="G52" s="22">
        <f t="shared" si="10"/>
        <v>0</v>
      </c>
      <c r="H52" s="24">
        <v>0.65700000000000003</v>
      </c>
      <c r="I52" s="24">
        <v>0.872</v>
      </c>
      <c r="J52" s="23">
        <v>104</v>
      </c>
      <c r="K52" s="23">
        <v>15</v>
      </c>
      <c r="L52" s="22">
        <f t="shared" si="11"/>
        <v>1</v>
      </c>
      <c r="M52" s="23">
        <v>233</v>
      </c>
      <c r="N52" s="23">
        <v>80</v>
      </c>
    </row>
    <row r="53" spans="1:14" x14ac:dyDescent="0.4">
      <c r="A53" s="24" t="s">
        <v>48</v>
      </c>
      <c r="B53" s="22">
        <f t="shared" si="7"/>
        <v>1</v>
      </c>
      <c r="C53" s="22" t="s">
        <v>47</v>
      </c>
      <c r="D53" s="22">
        <f t="shared" si="8"/>
        <v>0</v>
      </c>
      <c r="E53" s="22">
        <f t="shared" si="9"/>
        <v>0</v>
      </c>
      <c r="F53" s="22">
        <f t="shared" si="10"/>
        <v>0</v>
      </c>
      <c r="G53" s="22">
        <f t="shared" si="10"/>
        <v>0</v>
      </c>
      <c r="H53" s="24">
        <v>0.623</v>
      </c>
      <c r="I53" s="24">
        <v>0.32400000000000001</v>
      </c>
      <c r="J53" s="23">
        <v>91</v>
      </c>
      <c r="K53" s="23">
        <v>1</v>
      </c>
      <c r="L53" s="22">
        <f t="shared" si="11"/>
        <v>1</v>
      </c>
      <c r="M53" s="23">
        <v>205</v>
      </c>
      <c r="N53" s="23">
        <v>60</v>
      </c>
    </row>
    <row r="54" spans="1:14" x14ac:dyDescent="0.4">
      <c r="A54" s="24" t="s">
        <v>48</v>
      </c>
      <c r="B54" s="22">
        <f t="shared" si="7"/>
        <v>1</v>
      </c>
      <c r="C54" s="22" t="s">
        <v>56</v>
      </c>
      <c r="D54" s="22">
        <f t="shared" si="8"/>
        <v>0</v>
      </c>
      <c r="E54" s="22">
        <f t="shared" si="9"/>
        <v>1</v>
      </c>
      <c r="F54" s="22">
        <f t="shared" si="10"/>
        <v>0</v>
      </c>
      <c r="G54" s="22">
        <f t="shared" si="10"/>
        <v>0</v>
      </c>
      <c r="H54" s="24">
        <v>0.503</v>
      </c>
      <c r="I54" s="24">
        <v>0.109</v>
      </c>
      <c r="J54" s="23">
        <v>95</v>
      </c>
      <c r="K54" s="23">
        <v>4</v>
      </c>
      <c r="L54" s="22">
        <f t="shared" si="11"/>
        <v>0</v>
      </c>
      <c r="M54" s="23">
        <v>273</v>
      </c>
      <c r="N54" s="23">
        <v>17</v>
      </c>
    </row>
    <row r="55" spans="1:14" x14ac:dyDescent="0.4">
      <c r="A55" s="24" t="s">
        <v>67</v>
      </c>
      <c r="B55" s="22">
        <f t="shared" si="7"/>
        <v>0</v>
      </c>
      <c r="C55" s="22" t="s">
        <v>61</v>
      </c>
      <c r="D55" s="22">
        <f t="shared" si="8"/>
        <v>0</v>
      </c>
      <c r="E55" s="22">
        <f t="shared" si="9"/>
        <v>0</v>
      </c>
      <c r="F55" s="22">
        <f t="shared" si="10"/>
        <v>0</v>
      </c>
      <c r="G55" s="22">
        <f t="shared" si="10"/>
        <v>0</v>
      </c>
      <c r="H55" s="24">
        <v>0.59299999999999997</v>
      </c>
      <c r="I55" s="24">
        <v>0.628</v>
      </c>
      <c r="J55" s="23">
        <v>167</v>
      </c>
      <c r="K55" s="23">
        <v>1</v>
      </c>
      <c r="L55" s="22">
        <f t="shared" si="11"/>
        <v>0</v>
      </c>
      <c r="M55" s="23">
        <v>203</v>
      </c>
      <c r="N55" s="23">
        <v>36</v>
      </c>
    </row>
    <row r="56" spans="1:14" x14ac:dyDescent="0.4">
      <c r="A56" s="24" t="s">
        <v>67</v>
      </c>
      <c r="B56" s="22">
        <f t="shared" si="7"/>
        <v>0</v>
      </c>
      <c r="C56" s="22" t="s">
        <v>47</v>
      </c>
      <c r="D56" s="22">
        <f t="shared" si="8"/>
        <v>0</v>
      </c>
      <c r="E56" s="22">
        <f t="shared" si="9"/>
        <v>0</v>
      </c>
      <c r="F56" s="22">
        <f t="shared" si="10"/>
        <v>0</v>
      </c>
      <c r="G56" s="22">
        <f t="shared" si="10"/>
        <v>0</v>
      </c>
      <c r="H56" s="24">
        <v>0.92600000000000005</v>
      </c>
      <c r="I56" s="24">
        <v>0.37</v>
      </c>
      <c r="J56" s="23">
        <v>128</v>
      </c>
      <c r="K56" s="23">
        <v>0</v>
      </c>
      <c r="L56" s="22">
        <f t="shared" si="11"/>
        <v>1</v>
      </c>
      <c r="M56" s="23">
        <v>167</v>
      </c>
      <c r="N56" s="23">
        <v>62</v>
      </c>
    </row>
    <row r="57" spans="1:14" x14ac:dyDescent="0.4">
      <c r="A57" s="24" t="s">
        <v>67</v>
      </c>
      <c r="B57" s="22">
        <f t="shared" si="7"/>
        <v>0</v>
      </c>
      <c r="C57" s="22" t="s">
        <v>84</v>
      </c>
      <c r="D57" s="22">
        <f t="shared" si="8"/>
        <v>1</v>
      </c>
      <c r="E57" s="22">
        <f t="shared" si="9"/>
        <v>0</v>
      </c>
      <c r="F57" s="22">
        <f t="shared" si="10"/>
        <v>0</v>
      </c>
      <c r="G57" s="22">
        <f t="shared" si="10"/>
        <v>0</v>
      </c>
      <c r="H57" s="24">
        <v>0.91400000000000003</v>
      </c>
      <c r="I57" s="24">
        <v>0.30299999999999999</v>
      </c>
      <c r="J57" s="23">
        <v>88</v>
      </c>
      <c r="K57" s="23">
        <v>2</v>
      </c>
      <c r="L57" s="22">
        <f t="shared" si="11"/>
        <v>0</v>
      </c>
      <c r="M57" s="23">
        <v>109</v>
      </c>
      <c r="N57" s="23">
        <v>47</v>
      </c>
    </row>
    <row r="58" spans="1:14" x14ac:dyDescent="0.4">
      <c r="A58" s="24" t="s">
        <v>48</v>
      </c>
      <c r="B58" s="22">
        <f t="shared" si="7"/>
        <v>1</v>
      </c>
      <c r="C58" s="22" t="s">
        <v>66</v>
      </c>
      <c r="D58" s="22">
        <f t="shared" si="8"/>
        <v>0</v>
      </c>
      <c r="E58" s="22">
        <f t="shared" si="9"/>
        <v>0</v>
      </c>
      <c r="F58" s="22">
        <f t="shared" si="10"/>
        <v>1</v>
      </c>
      <c r="G58" s="22">
        <f t="shared" si="10"/>
        <v>0</v>
      </c>
      <c r="H58" s="24">
        <v>0.80500000000000005</v>
      </c>
      <c r="I58" s="24">
        <v>0.28100000000000003</v>
      </c>
      <c r="J58" s="23">
        <v>108</v>
      </c>
      <c r="K58" s="23">
        <v>1</v>
      </c>
      <c r="L58" s="22">
        <f t="shared" si="11"/>
        <v>0</v>
      </c>
      <c r="M58" s="23">
        <v>172</v>
      </c>
      <c r="N58" s="23">
        <v>18</v>
      </c>
    </row>
    <row r="59" spans="1:14" x14ac:dyDescent="0.4">
      <c r="A59" s="24" t="s">
        <v>48</v>
      </c>
      <c r="B59" s="22">
        <f t="shared" si="7"/>
        <v>1</v>
      </c>
      <c r="C59" s="22" t="s">
        <v>53</v>
      </c>
      <c r="D59" s="22">
        <f t="shared" si="8"/>
        <v>0</v>
      </c>
      <c r="E59" s="22">
        <f t="shared" si="9"/>
        <v>0</v>
      </c>
      <c r="F59" s="22">
        <f t="shared" si="10"/>
        <v>0</v>
      </c>
      <c r="G59" s="22">
        <f t="shared" si="10"/>
        <v>1</v>
      </c>
      <c r="H59" s="24">
        <v>0.84599999999999997</v>
      </c>
      <c r="I59" s="24">
        <v>0.56699999999999995</v>
      </c>
      <c r="J59" s="23">
        <v>103</v>
      </c>
      <c r="K59" s="23">
        <v>1</v>
      </c>
      <c r="L59" s="22">
        <f t="shared" si="11"/>
        <v>0</v>
      </c>
      <c r="M59" s="23">
        <v>197</v>
      </c>
      <c r="N59" s="23">
        <v>53</v>
      </c>
    </row>
    <row r="60" spans="1:14" x14ac:dyDescent="0.4">
      <c r="A60" s="24" t="s">
        <v>48</v>
      </c>
      <c r="B60" s="22">
        <f t="shared" si="7"/>
        <v>1</v>
      </c>
      <c r="C60" s="22" t="s">
        <v>66</v>
      </c>
      <c r="D60" s="22">
        <f t="shared" si="8"/>
        <v>0</v>
      </c>
      <c r="E60" s="22">
        <f t="shared" si="9"/>
        <v>0</v>
      </c>
      <c r="F60" s="22">
        <f t="shared" si="10"/>
        <v>1</v>
      </c>
      <c r="G60" s="22">
        <f t="shared" si="10"/>
        <v>0</v>
      </c>
      <c r="H60" s="24">
        <v>0.436</v>
      </c>
      <c r="I60" s="24">
        <v>9.1400000000000006E-3</v>
      </c>
      <c r="J60" s="23">
        <v>94</v>
      </c>
      <c r="K60" s="23">
        <v>3</v>
      </c>
      <c r="L60" s="22">
        <f t="shared" si="11"/>
        <v>0</v>
      </c>
      <c r="M60" s="23">
        <v>506</v>
      </c>
      <c r="N60" s="23">
        <v>52</v>
      </c>
    </row>
    <row r="61" spans="1:14" x14ac:dyDescent="0.4">
      <c r="A61" s="24" t="s">
        <v>48</v>
      </c>
      <c r="B61" s="22">
        <f t="shared" si="7"/>
        <v>1</v>
      </c>
      <c r="C61" s="22" t="s">
        <v>47</v>
      </c>
      <c r="D61" s="22">
        <f t="shared" si="8"/>
        <v>0</v>
      </c>
      <c r="E61" s="22">
        <f t="shared" si="9"/>
        <v>0</v>
      </c>
      <c r="F61" s="22">
        <f t="shared" si="10"/>
        <v>0</v>
      </c>
      <c r="G61" s="22">
        <f t="shared" si="10"/>
        <v>0</v>
      </c>
      <c r="H61" s="24">
        <v>0.34200000000000003</v>
      </c>
      <c r="I61" s="24">
        <v>0.185</v>
      </c>
      <c r="J61" s="23">
        <v>83</v>
      </c>
      <c r="K61" s="23">
        <v>4</v>
      </c>
      <c r="L61" s="22">
        <f t="shared" si="11"/>
        <v>1</v>
      </c>
      <c r="M61" s="23">
        <v>262</v>
      </c>
      <c r="N61" s="23">
        <v>59</v>
      </c>
    </row>
    <row r="62" spans="1:14" x14ac:dyDescent="0.4">
      <c r="A62" s="24" t="s">
        <v>48</v>
      </c>
      <c r="B62" s="22">
        <f t="shared" si="7"/>
        <v>1</v>
      </c>
      <c r="C62" s="22" t="s">
        <v>47</v>
      </c>
      <c r="D62" s="22">
        <f t="shared" si="8"/>
        <v>0</v>
      </c>
      <c r="E62" s="22">
        <f t="shared" si="9"/>
        <v>0</v>
      </c>
      <c r="F62" s="22">
        <f t="shared" ref="F62:G81" si="12">IF($C62=F$1, 1, 0)</f>
        <v>0</v>
      </c>
      <c r="G62" s="22">
        <f t="shared" si="12"/>
        <v>0</v>
      </c>
      <c r="H62" s="24">
        <v>0.68500000000000005</v>
      </c>
      <c r="I62" s="24">
        <v>0.437</v>
      </c>
      <c r="J62" s="23">
        <v>128</v>
      </c>
      <c r="K62" s="23">
        <v>5</v>
      </c>
      <c r="L62" s="22">
        <f t="shared" ref="L62:L81" si="13">IF($C62=L$1, 1, 0)</f>
        <v>1</v>
      </c>
      <c r="M62" s="23">
        <v>230</v>
      </c>
      <c r="N62" s="23">
        <v>66</v>
      </c>
    </row>
    <row r="63" spans="1:14" x14ac:dyDescent="0.4">
      <c r="A63" s="24" t="s">
        <v>48</v>
      </c>
      <c r="B63" s="22">
        <f t="shared" si="7"/>
        <v>1</v>
      </c>
      <c r="C63" s="22" t="s">
        <v>84</v>
      </c>
      <c r="D63" s="22">
        <f t="shared" si="8"/>
        <v>1</v>
      </c>
      <c r="E63" s="22">
        <f t="shared" si="9"/>
        <v>0</v>
      </c>
      <c r="F63" s="22">
        <f t="shared" si="12"/>
        <v>0</v>
      </c>
      <c r="G63" s="22">
        <f t="shared" si="12"/>
        <v>0</v>
      </c>
      <c r="H63" s="24">
        <v>0.71899999999999997</v>
      </c>
      <c r="I63" s="24">
        <v>0.37</v>
      </c>
      <c r="J63" s="23">
        <v>84</v>
      </c>
      <c r="K63" s="23">
        <v>2</v>
      </c>
      <c r="L63" s="22">
        <f t="shared" si="13"/>
        <v>0</v>
      </c>
      <c r="M63" s="23">
        <v>134</v>
      </c>
      <c r="N63" s="23">
        <v>46</v>
      </c>
    </row>
    <row r="64" spans="1:14" x14ac:dyDescent="0.4">
      <c r="A64" s="24" t="s">
        <v>48</v>
      </c>
      <c r="B64" s="22">
        <f t="shared" si="7"/>
        <v>1</v>
      </c>
      <c r="C64" s="22" t="s">
        <v>53</v>
      </c>
      <c r="D64" s="22">
        <f t="shared" si="8"/>
        <v>0</v>
      </c>
      <c r="E64" s="22">
        <f t="shared" si="9"/>
        <v>0</v>
      </c>
      <c r="F64" s="22">
        <f t="shared" si="12"/>
        <v>0</v>
      </c>
      <c r="G64" s="22">
        <f t="shared" si="12"/>
        <v>1</v>
      </c>
      <c r="H64" s="24">
        <v>0.77500000000000002</v>
      </c>
      <c r="I64" s="24">
        <v>5.67E-2</v>
      </c>
      <c r="J64" s="23">
        <v>93</v>
      </c>
      <c r="K64" s="23">
        <v>4</v>
      </c>
      <c r="L64" s="22">
        <f t="shared" si="13"/>
        <v>0</v>
      </c>
      <c r="M64" s="23">
        <v>196</v>
      </c>
      <c r="N64" s="23">
        <v>63</v>
      </c>
    </row>
    <row r="65" spans="1:14" x14ac:dyDescent="0.4">
      <c r="A65" s="24" t="s">
        <v>48</v>
      </c>
      <c r="B65" s="22">
        <f t="shared" si="7"/>
        <v>1</v>
      </c>
      <c r="C65" s="22" t="s">
        <v>53</v>
      </c>
      <c r="D65" s="22">
        <f t="shared" si="8"/>
        <v>0</v>
      </c>
      <c r="E65" s="22">
        <f t="shared" si="9"/>
        <v>0</v>
      </c>
      <c r="F65" s="22">
        <f t="shared" si="12"/>
        <v>0</v>
      </c>
      <c r="G65" s="22">
        <f t="shared" si="12"/>
        <v>1</v>
      </c>
      <c r="H65" s="24">
        <v>0.48599999999999999</v>
      </c>
      <c r="I65" s="24">
        <v>0.29199999999999998</v>
      </c>
      <c r="J65" s="23">
        <v>84</v>
      </c>
      <c r="K65" s="23">
        <v>18</v>
      </c>
      <c r="L65" s="22">
        <f t="shared" si="13"/>
        <v>0</v>
      </c>
      <c r="M65" s="23">
        <v>238</v>
      </c>
      <c r="N65" s="23">
        <v>67</v>
      </c>
    </row>
    <row r="66" spans="1:14" x14ac:dyDescent="0.4">
      <c r="A66" s="24" t="s">
        <v>48</v>
      </c>
      <c r="B66" s="22">
        <f t="shared" ref="B66:B97" si="14">IF($A66=B$1, 1, 0)</f>
        <v>1</v>
      </c>
      <c r="C66" s="22" t="s">
        <v>61</v>
      </c>
      <c r="D66" s="22">
        <f t="shared" ref="D66:D97" si="15">IF($C66=D$1, 1, 0)</f>
        <v>0</v>
      </c>
      <c r="E66" s="22">
        <f t="shared" si="9"/>
        <v>0</v>
      </c>
      <c r="F66" s="22">
        <f t="shared" si="12"/>
        <v>0</v>
      </c>
      <c r="G66" s="22">
        <f t="shared" si="12"/>
        <v>0</v>
      </c>
      <c r="H66" s="24">
        <v>0.52900000000000003</v>
      </c>
      <c r="I66" s="24">
        <v>1.2600000000000001E-3</v>
      </c>
      <c r="J66" s="23">
        <v>142</v>
      </c>
      <c r="K66" s="23">
        <v>32</v>
      </c>
      <c r="L66" s="22">
        <f t="shared" si="13"/>
        <v>0</v>
      </c>
      <c r="M66" s="23">
        <v>236</v>
      </c>
      <c r="N66" s="23">
        <v>63</v>
      </c>
    </row>
    <row r="67" spans="1:14" x14ac:dyDescent="0.4">
      <c r="A67" s="24" t="s">
        <v>48</v>
      </c>
      <c r="B67" s="22">
        <f t="shared" si="14"/>
        <v>1</v>
      </c>
      <c r="C67" s="22" t="s">
        <v>56</v>
      </c>
      <c r="D67" s="22">
        <f t="shared" si="15"/>
        <v>0</v>
      </c>
      <c r="E67" s="22">
        <f t="shared" ref="E67:E98" si="16">IF($C67=E$1, 1, 0)</f>
        <v>1</v>
      </c>
      <c r="F67" s="22">
        <f t="shared" si="12"/>
        <v>0</v>
      </c>
      <c r="G67" s="22">
        <f t="shared" si="12"/>
        <v>0</v>
      </c>
      <c r="H67" s="24">
        <v>0.83199999999999996</v>
      </c>
      <c r="I67" s="24">
        <v>9.9699999999999997E-3</v>
      </c>
      <c r="J67" s="23">
        <v>118</v>
      </c>
      <c r="K67" s="23">
        <v>4</v>
      </c>
      <c r="L67" s="22">
        <f t="shared" si="13"/>
        <v>0</v>
      </c>
      <c r="M67" s="23">
        <v>257</v>
      </c>
      <c r="N67" s="23">
        <v>5</v>
      </c>
    </row>
    <row r="68" spans="1:14" x14ac:dyDescent="0.4">
      <c r="A68" s="24" t="s">
        <v>48</v>
      </c>
      <c r="B68" s="22">
        <f t="shared" si="14"/>
        <v>1</v>
      </c>
      <c r="C68" s="22" t="s">
        <v>53</v>
      </c>
      <c r="D68" s="22">
        <f t="shared" si="15"/>
        <v>0</v>
      </c>
      <c r="E68" s="22">
        <f t="shared" si="16"/>
        <v>0</v>
      </c>
      <c r="F68" s="22">
        <f t="shared" si="12"/>
        <v>0</v>
      </c>
      <c r="G68" s="22">
        <f t="shared" si="12"/>
        <v>1</v>
      </c>
      <c r="H68" s="24">
        <v>0.85</v>
      </c>
      <c r="I68" s="24">
        <v>0.23100000000000001</v>
      </c>
      <c r="J68" s="23">
        <v>148</v>
      </c>
      <c r="K68" s="23">
        <v>3</v>
      </c>
      <c r="L68" s="22">
        <f t="shared" si="13"/>
        <v>0</v>
      </c>
      <c r="M68" s="23">
        <v>221</v>
      </c>
      <c r="N68" s="23">
        <v>58</v>
      </c>
    </row>
    <row r="69" spans="1:14" x14ac:dyDescent="0.4">
      <c r="A69" s="24" t="s">
        <v>67</v>
      </c>
      <c r="B69" s="22">
        <f t="shared" si="14"/>
        <v>0</v>
      </c>
      <c r="C69" s="22" t="s">
        <v>66</v>
      </c>
      <c r="D69" s="22">
        <f t="shared" si="15"/>
        <v>0</v>
      </c>
      <c r="E69" s="22">
        <f t="shared" si="16"/>
        <v>0</v>
      </c>
      <c r="F69" s="22">
        <f t="shared" si="12"/>
        <v>1</v>
      </c>
      <c r="G69" s="22">
        <f t="shared" si="12"/>
        <v>0</v>
      </c>
      <c r="H69" s="24">
        <v>0.73599999999999999</v>
      </c>
      <c r="I69" s="24">
        <v>6.6E-3</v>
      </c>
      <c r="J69" s="23">
        <v>107</v>
      </c>
      <c r="K69" s="23">
        <v>30</v>
      </c>
      <c r="L69" s="22">
        <f t="shared" si="13"/>
        <v>0</v>
      </c>
      <c r="M69" s="23">
        <v>282</v>
      </c>
      <c r="N69" s="23">
        <v>2</v>
      </c>
    </row>
    <row r="70" spans="1:14" x14ac:dyDescent="0.4">
      <c r="A70" s="24" t="s">
        <v>67</v>
      </c>
      <c r="B70" s="22">
        <f t="shared" si="14"/>
        <v>0</v>
      </c>
      <c r="C70" s="22" t="s">
        <v>56</v>
      </c>
      <c r="D70" s="22">
        <f t="shared" si="15"/>
        <v>0</v>
      </c>
      <c r="E70" s="22">
        <f t="shared" si="16"/>
        <v>1</v>
      </c>
      <c r="F70" s="22">
        <f t="shared" si="12"/>
        <v>0</v>
      </c>
      <c r="G70" s="22">
        <f t="shared" si="12"/>
        <v>0</v>
      </c>
      <c r="H70" s="24">
        <v>0.75800000000000001</v>
      </c>
      <c r="I70" s="24">
        <v>0.35699999999999998</v>
      </c>
      <c r="J70" s="23">
        <v>120</v>
      </c>
      <c r="K70" s="23">
        <v>4</v>
      </c>
      <c r="L70" s="22">
        <f t="shared" si="13"/>
        <v>0</v>
      </c>
      <c r="M70" s="23">
        <v>292</v>
      </c>
      <c r="N70" s="23">
        <v>61</v>
      </c>
    </row>
    <row r="71" spans="1:14" x14ac:dyDescent="0.4">
      <c r="A71" s="24" t="s">
        <v>48</v>
      </c>
      <c r="B71" s="22">
        <f t="shared" si="14"/>
        <v>1</v>
      </c>
      <c r="C71" s="22" t="s">
        <v>84</v>
      </c>
      <c r="D71" s="22">
        <f t="shared" si="15"/>
        <v>1</v>
      </c>
      <c r="E71" s="22">
        <f t="shared" si="16"/>
        <v>0</v>
      </c>
      <c r="F71" s="22">
        <f t="shared" si="12"/>
        <v>0</v>
      </c>
      <c r="G71" s="22">
        <f t="shared" si="12"/>
        <v>0</v>
      </c>
      <c r="H71" s="24">
        <v>0.54900000000000004</v>
      </c>
      <c r="I71" s="24">
        <v>2.8500000000000001E-2</v>
      </c>
      <c r="J71" s="23">
        <v>95</v>
      </c>
      <c r="K71" s="23">
        <v>27</v>
      </c>
      <c r="L71" s="22">
        <f t="shared" si="13"/>
        <v>0</v>
      </c>
      <c r="M71" s="23">
        <v>211</v>
      </c>
      <c r="N71" s="23">
        <v>72</v>
      </c>
    </row>
    <row r="72" spans="1:14" x14ac:dyDescent="0.4">
      <c r="A72" s="24" t="s">
        <v>48</v>
      </c>
      <c r="B72" s="22">
        <f t="shared" si="14"/>
        <v>1</v>
      </c>
      <c r="C72" s="22" t="s">
        <v>47</v>
      </c>
      <c r="D72" s="22">
        <f t="shared" si="15"/>
        <v>0</v>
      </c>
      <c r="E72" s="22">
        <f t="shared" si="16"/>
        <v>0</v>
      </c>
      <c r="F72" s="22">
        <f t="shared" si="12"/>
        <v>0</v>
      </c>
      <c r="G72" s="22">
        <f t="shared" si="12"/>
        <v>0</v>
      </c>
      <c r="H72" s="24">
        <v>0.53200000000000003</v>
      </c>
      <c r="I72" s="24">
        <v>0.105</v>
      </c>
      <c r="J72" s="23">
        <v>130</v>
      </c>
      <c r="K72" s="23">
        <v>1</v>
      </c>
      <c r="L72" s="22">
        <f t="shared" si="13"/>
        <v>1</v>
      </c>
      <c r="M72" s="23">
        <v>189</v>
      </c>
      <c r="N72" s="23">
        <v>77</v>
      </c>
    </row>
    <row r="73" spans="1:14" x14ac:dyDescent="0.4">
      <c r="A73" s="24" t="s">
        <v>48</v>
      </c>
      <c r="B73" s="22">
        <f t="shared" si="14"/>
        <v>1</v>
      </c>
      <c r="C73" s="22" t="s">
        <v>53</v>
      </c>
      <c r="D73" s="22">
        <f t="shared" si="15"/>
        <v>0</v>
      </c>
      <c r="E73" s="22">
        <f t="shared" si="16"/>
        <v>0</v>
      </c>
      <c r="F73" s="22">
        <f t="shared" si="12"/>
        <v>0</v>
      </c>
      <c r="G73" s="22">
        <f t="shared" si="12"/>
        <v>1</v>
      </c>
      <c r="H73" s="24">
        <v>0.69099999999999995</v>
      </c>
      <c r="I73" s="24">
        <v>1.9300000000000001E-2</v>
      </c>
      <c r="J73" s="23">
        <v>109</v>
      </c>
      <c r="K73" s="23">
        <v>34</v>
      </c>
      <c r="L73" s="22">
        <f t="shared" si="13"/>
        <v>0</v>
      </c>
      <c r="M73" s="23">
        <v>266</v>
      </c>
      <c r="N73" s="23">
        <v>38</v>
      </c>
    </row>
    <row r="74" spans="1:14" x14ac:dyDescent="0.4">
      <c r="A74" s="24" t="s">
        <v>67</v>
      </c>
      <c r="B74" s="22">
        <f t="shared" si="14"/>
        <v>0</v>
      </c>
      <c r="C74" s="22" t="s">
        <v>56</v>
      </c>
      <c r="D74" s="22">
        <f t="shared" si="15"/>
        <v>0</v>
      </c>
      <c r="E74" s="22">
        <f t="shared" si="16"/>
        <v>1</v>
      </c>
      <c r="F74" s="22">
        <f t="shared" si="12"/>
        <v>0</v>
      </c>
      <c r="G74" s="22">
        <f t="shared" si="12"/>
        <v>0</v>
      </c>
      <c r="H74" s="24">
        <v>0.68799999999999994</v>
      </c>
      <c r="I74" s="24">
        <v>0.83899999999999997</v>
      </c>
      <c r="J74" s="23">
        <v>116</v>
      </c>
      <c r="K74" s="23">
        <v>1</v>
      </c>
      <c r="L74" s="22">
        <f t="shared" si="13"/>
        <v>0</v>
      </c>
      <c r="M74" s="23">
        <v>228</v>
      </c>
      <c r="N74" s="23">
        <v>33</v>
      </c>
    </row>
    <row r="75" spans="1:14" x14ac:dyDescent="0.4">
      <c r="A75" s="24" t="s">
        <v>48</v>
      </c>
      <c r="B75" s="22">
        <f t="shared" si="14"/>
        <v>1</v>
      </c>
      <c r="C75" s="22" t="s">
        <v>53</v>
      </c>
      <c r="D75" s="22">
        <f t="shared" si="15"/>
        <v>0</v>
      </c>
      <c r="E75" s="22">
        <f t="shared" si="16"/>
        <v>0</v>
      </c>
      <c r="F75" s="22">
        <f t="shared" si="12"/>
        <v>0</v>
      </c>
      <c r="G75" s="22">
        <f t="shared" si="12"/>
        <v>1</v>
      </c>
      <c r="H75" s="24">
        <v>0.64500000000000002</v>
      </c>
      <c r="I75" s="24">
        <v>0.28999999999999998</v>
      </c>
      <c r="J75" s="23">
        <v>105</v>
      </c>
      <c r="K75" s="23">
        <v>4</v>
      </c>
      <c r="L75" s="22">
        <f t="shared" si="13"/>
        <v>0</v>
      </c>
      <c r="M75" s="23">
        <v>205</v>
      </c>
      <c r="N75" s="23">
        <v>9</v>
      </c>
    </row>
    <row r="76" spans="1:14" x14ac:dyDescent="0.4">
      <c r="A76" s="24" t="s">
        <v>48</v>
      </c>
      <c r="B76" s="22">
        <f t="shared" si="14"/>
        <v>1</v>
      </c>
      <c r="C76" s="22" t="s">
        <v>61</v>
      </c>
      <c r="D76" s="22">
        <f t="shared" si="15"/>
        <v>0</v>
      </c>
      <c r="E76" s="22">
        <f t="shared" si="16"/>
        <v>0</v>
      </c>
      <c r="F76" s="22">
        <f t="shared" si="12"/>
        <v>0</v>
      </c>
      <c r="G76" s="22">
        <f t="shared" si="12"/>
        <v>0</v>
      </c>
      <c r="H76" s="24">
        <v>0.45600000000000002</v>
      </c>
      <c r="I76" s="24">
        <v>0.252</v>
      </c>
      <c r="J76" s="23">
        <v>95</v>
      </c>
      <c r="K76" s="23">
        <v>16</v>
      </c>
      <c r="L76" s="22">
        <f t="shared" si="13"/>
        <v>0</v>
      </c>
      <c r="M76" s="23">
        <v>263</v>
      </c>
      <c r="N76" s="23">
        <v>31</v>
      </c>
    </row>
    <row r="77" spans="1:14" x14ac:dyDescent="0.4">
      <c r="A77" s="24" t="s">
        <v>48</v>
      </c>
      <c r="B77" s="22">
        <f t="shared" si="14"/>
        <v>1</v>
      </c>
      <c r="C77" s="22" t="s">
        <v>47</v>
      </c>
      <c r="D77" s="22">
        <f t="shared" si="15"/>
        <v>0</v>
      </c>
      <c r="E77" s="22">
        <f t="shared" si="16"/>
        <v>0</v>
      </c>
      <c r="F77" s="22">
        <f t="shared" si="12"/>
        <v>0</v>
      </c>
      <c r="G77" s="22">
        <f t="shared" si="12"/>
        <v>0</v>
      </c>
      <c r="H77" s="24">
        <v>0.80300000000000005</v>
      </c>
      <c r="I77" s="24">
        <v>0.10199999999999999</v>
      </c>
      <c r="J77" s="23">
        <v>105</v>
      </c>
      <c r="K77" s="23">
        <v>4</v>
      </c>
      <c r="L77" s="22">
        <f t="shared" si="13"/>
        <v>1</v>
      </c>
      <c r="M77" s="23">
        <v>217</v>
      </c>
      <c r="N77" s="23">
        <v>13</v>
      </c>
    </row>
    <row r="78" spans="1:14" x14ac:dyDescent="0.4">
      <c r="A78" s="24" t="s">
        <v>67</v>
      </c>
      <c r="B78" s="22">
        <f t="shared" si="14"/>
        <v>0</v>
      </c>
      <c r="C78" s="22" t="s">
        <v>61</v>
      </c>
      <c r="D78" s="22">
        <f t="shared" si="15"/>
        <v>0</v>
      </c>
      <c r="E78" s="22">
        <f t="shared" si="16"/>
        <v>0</v>
      </c>
      <c r="F78" s="22">
        <f t="shared" si="12"/>
        <v>0</v>
      </c>
      <c r="G78" s="22">
        <f t="shared" si="12"/>
        <v>0</v>
      </c>
      <c r="H78" s="24">
        <v>0.27600000000000002</v>
      </c>
      <c r="I78" s="24">
        <v>0.79500000000000004</v>
      </c>
      <c r="J78" s="23">
        <v>84</v>
      </c>
      <c r="K78" s="23">
        <v>48</v>
      </c>
      <c r="L78" s="22">
        <f t="shared" si="13"/>
        <v>0</v>
      </c>
      <c r="M78" s="23">
        <v>293</v>
      </c>
      <c r="N78" s="23">
        <v>6</v>
      </c>
    </row>
    <row r="79" spans="1:14" x14ac:dyDescent="0.4">
      <c r="A79" s="24" t="s">
        <v>48</v>
      </c>
      <c r="B79" s="22">
        <f t="shared" si="14"/>
        <v>1</v>
      </c>
      <c r="C79" s="22" t="s">
        <v>47</v>
      </c>
      <c r="D79" s="22">
        <f t="shared" si="15"/>
        <v>0</v>
      </c>
      <c r="E79" s="22">
        <f t="shared" si="16"/>
        <v>0</v>
      </c>
      <c r="F79" s="22">
        <f t="shared" si="12"/>
        <v>0</v>
      </c>
      <c r="G79" s="22">
        <f t="shared" si="12"/>
        <v>0</v>
      </c>
      <c r="H79" s="24">
        <v>0.57699999999999996</v>
      </c>
      <c r="I79" s="24">
        <v>4.9099999999999998E-2</v>
      </c>
      <c r="J79" s="23">
        <v>79</v>
      </c>
      <c r="K79" s="23">
        <v>1</v>
      </c>
      <c r="L79" s="22">
        <f t="shared" si="13"/>
        <v>1</v>
      </c>
      <c r="M79" s="23">
        <v>198</v>
      </c>
      <c r="N79" s="23">
        <v>62</v>
      </c>
    </row>
    <row r="80" spans="1:14" x14ac:dyDescent="0.4">
      <c r="A80" s="24" t="s">
        <v>48</v>
      </c>
      <c r="B80" s="22">
        <f t="shared" si="14"/>
        <v>1</v>
      </c>
      <c r="C80" s="22" t="s">
        <v>47</v>
      </c>
      <c r="D80" s="22">
        <f t="shared" si="15"/>
        <v>0</v>
      </c>
      <c r="E80" s="22">
        <f t="shared" si="16"/>
        <v>0</v>
      </c>
      <c r="F80" s="22">
        <f t="shared" si="12"/>
        <v>0</v>
      </c>
      <c r="G80" s="22">
        <f t="shared" si="12"/>
        <v>0</v>
      </c>
      <c r="H80" s="24">
        <v>0.376</v>
      </c>
      <c r="I80" s="24">
        <v>0.39700000000000002</v>
      </c>
      <c r="J80" s="23">
        <v>95</v>
      </c>
      <c r="K80" s="23">
        <v>2</v>
      </c>
      <c r="L80" s="22">
        <f t="shared" si="13"/>
        <v>1</v>
      </c>
      <c r="M80" s="23">
        <v>211</v>
      </c>
      <c r="N80" s="23">
        <v>38</v>
      </c>
    </row>
    <row r="81" spans="1:14" x14ac:dyDescent="0.4">
      <c r="A81" s="24" t="s">
        <v>48</v>
      </c>
      <c r="B81" s="22">
        <f t="shared" si="14"/>
        <v>1</v>
      </c>
      <c r="C81" s="22" t="s">
        <v>56</v>
      </c>
      <c r="D81" s="22">
        <f t="shared" si="15"/>
        <v>0</v>
      </c>
      <c r="E81" s="22">
        <f t="shared" si="16"/>
        <v>1</v>
      </c>
      <c r="F81" s="22">
        <f t="shared" si="12"/>
        <v>0</v>
      </c>
      <c r="G81" s="22">
        <f t="shared" si="12"/>
        <v>0</v>
      </c>
      <c r="H81" s="24">
        <v>0.65200000000000002</v>
      </c>
      <c r="I81" s="24">
        <v>2.0899999999999998E-3</v>
      </c>
      <c r="J81" s="23">
        <v>128</v>
      </c>
      <c r="K81" s="23">
        <v>6</v>
      </c>
      <c r="L81" s="22">
        <f t="shared" si="13"/>
        <v>0</v>
      </c>
      <c r="M81" s="23">
        <v>313</v>
      </c>
      <c r="N81" s="23">
        <v>51</v>
      </c>
    </row>
    <row r="82" spans="1:14" x14ac:dyDescent="0.4">
      <c r="A82" s="24" t="s">
        <v>48</v>
      </c>
      <c r="B82" s="22">
        <f t="shared" si="14"/>
        <v>1</v>
      </c>
      <c r="C82" s="22" t="s">
        <v>56</v>
      </c>
      <c r="D82" s="22">
        <f t="shared" si="15"/>
        <v>0</v>
      </c>
      <c r="E82" s="22">
        <f t="shared" si="16"/>
        <v>1</v>
      </c>
      <c r="F82" s="22">
        <f t="shared" ref="F82:G101" si="17">IF($C82=F$1, 1, 0)</f>
        <v>0</v>
      </c>
      <c r="G82" s="22">
        <f t="shared" si="17"/>
        <v>0</v>
      </c>
      <c r="H82" s="24">
        <v>0.41599999999999998</v>
      </c>
      <c r="I82" s="24">
        <v>6.3200000000000006E-2</v>
      </c>
      <c r="J82" s="23">
        <v>128</v>
      </c>
      <c r="K82" s="23">
        <v>7</v>
      </c>
      <c r="L82" s="22">
        <f t="shared" ref="L82:L101" si="18">IF($C82=L$1, 1, 0)</f>
        <v>0</v>
      </c>
      <c r="M82" s="23">
        <v>258</v>
      </c>
      <c r="N82" s="23">
        <v>18</v>
      </c>
    </row>
    <row r="83" spans="1:14" x14ac:dyDescent="0.4">
      <c r="A83" s="24" t="s">
        <v>48</v>
      </c>
      <c r="B83" s="22">
        <f t="shared" si="14"/>
        <v>1</v>
      </c>
      <c r="C83" s="22" t="s">
        <v>61</v>
      </c>
      <c r="D83" s="22">
        <f t="shared" si="15"/>
        <v>0</v>
      </c>
      <c r="E83" s="22">
        <f t="shared" si="16"/>
        <v>0</v>
      </c>
      <c r="F83" s="22">
        <f t="shared" si="17"/>
        <v>0</v>
      </c>
      <c r="G83" s="22">
        <f t="shared" si="17"/>
        <v>0</v>
      </c>
      <c r="H83" s="24">
        <v>0.45800000000000002</v>
      </c>
      <c r="I83" s="24">
        <v>0.442</v>
      </c>
      <c r="J83" s="23">
        <v>122</v>
      </c>
      <c r="K83" s="23">
        <v>48</v>
      </c>
      <c r="L83" s="22">
        <f t="shared" si="18"/>
        <v>0</v>
      </c>
      <c r="M83" s="23">
        <v>221</v>
      </c>
      <c r="N83" s="23">
        <v>61</v>
      </c>
    </row>
    <row r="84" spans="1:14" x14ac:dyDescent="0.4">
      <c r="A84" s="24" t="s">
        <v>67</v>
      </c>
      <c r="B84" s="22">
        <f t="shared" si="14"/>
        <v>0</v>
      </c>
      <c r="C84" s="22" t="s">
        <v>66</v>
      </c>
      <c r="D84" s="22">
        <f t="shared" si="15"/>
        <v>0</v>
      </c>
      <c r="E84" s="22">
        <f t="shared" si="16"/>
        <v>0</v>
      </c>
      <c r="F84" s="22">
        <f t="shared" si="17"/>
        <v>1</v>
      </c>
      <c r="G84" s="22">
        <f t="shared" si="17"/>
        <v>0</v>
      </c>
      <c r="H84" s="24">
        <v>0.66500000000000004</v>
      </c>
      <c r="I84" s="24">
        <v>0.66500000000000004</v>
      </c>
      <c r="J84" s="23">
        <v>78</v>
      </c>
      <c r="K84" s="23">
        <v>1</v>
      </c>
      <c r="L84" s="22">
        <f t="shared" si="18"/>
        <v>0</v>
      </c>
      <c r="M84" s="23">
        <v>185</v>
      </c>
      <c r="N84" s="23">
        <v>12</v>
      </c>
    </row>
    <row r="85" spans="1:14" x14ac:dyDescent="0.4">
      <c r="A85" s="24" t="s">
        <v>48</v>
      </c>
      <c r="B85" s="22">
        <f t="shared" si="14"/>
        <v>1</v>
      </c>
      <c r="C85" s="22" t="s">
        <v>56</v>
      </c>
      <c r="D85" s="22">
        <f t="shared" si="15"/>
        <v>0</v>
      </c>
      <c r="E85" s="22">
        <f t="shared" si="16"/>
        <v>1</v>
      </c>
      <c r="F85" s="22">
        <f t="shared" si="17"/>
        <v>0</v>
      </c>
      <c r="G85" s="22">
        <f t="shared" si="17"/>
        <v>0</v>
      </c>
      <c r="H85" s="24">
        <v>0.79700000000000004</v>
      </c>
      <c r="I85" s="24">
        <v>7.6999999999999999E-2</v>
      </c>
      <c r="J85" s="23">
        <v>124</v>
      </c>
      <c r="K85" s="23">
        <v>1</v>
      </c>
      <c r="L85" s="22">
        <f t="shared" si="18"/>
        <v>0</v>
      </c>
      <c r="M85" s="23">
        <v>182</v>
      </c>
      <c r="N85" s="23">
        <v>43</v>
      </c>
    </row>
    <row r="86" spans="1:14" x14ac:dyDescent="0.4">
      <c r="A86" s="24" t="s">
        <v>48</v>
      </c>
      <c r="B86" s="22">
        <f t="shared" si="14"/>
        <v>1</v>
      </c>
      <c r="C86" s="22" t="s">
        <v>61</v>
      </c>
      <c r="D86" s="22">
        <f t="shared" si="15"/>
        <v>0</v>
      </c>
      <c r="E86" s="22">
        <f t="shared" si="16"/>
        <v>0</v>
      </c>
      <c r="F86" s="22">
        <f t="shared" si="17"/>
        <v>0</v>
      </c>
      <c r="G86" s="22">
        <f t="shared" si="17"/>
        <v>0</v>
      </c>
      <c r="H86" s="24">
        <v>0.50900000000000001</v>
      </c>
      <c r="I86" s="24">
        <v>1.89E-3</v>
      </c>
      <c r="J86" s="23">
        <v>117</v>
      </c>
      <c r="K86" s="23">
        <v>14</v>
      </c>
      <c r="L86" s="22">
        <f t="shared" si="18"/>
        <v>0</v>
      </c>
      <c r="M86" s="23">
        <v>265</v>
      </c>
      <c r="N86" s="23">
        <v>54</v>
      </c>
    </row>
    <row r="87" spans="1:14" x14ac:dyDescent="0.4">
      <c r="A87" s="24" t="s">
        <v>67</v>
      </c>
      <c r="B87" s="22">
        <f t="shared" si="14"/>
        <v>0</v>
      </c>
      <c r="C87" s="22" t="s">
        <v>66</v>
      </c>
      <c r="D87" s="22">
        <f t="shared" si="15"/>
        <v>0</v>
      </c>
      <c r="E87" s="22">
        <f t="shared" si="16"/>
        <v>0</v>
      </c>
      <c r="F87" s="22">
        <f t="shared" si="17"/>
        <v>1</v>
      </c>
      <c r="G87" s="22">
        <f t="shared" si="17"/>
        <v>0</v>
      </c>
      <c r="H87" s="24">
        <v>0.55100000000000005</v>
      </c>
      <c r="I87" s="24">
        <v>0.68100000000000005</v>
      </c>
      <c r="J87" s="23">
        <v>84</v>
      </c>
      <c r="K87" s="23">
        <v>3</v>
      </c>
      <c r="L87" s="22">
        <f t="shared" si="18"/>
        <v>0</v>
      </c>
      <c r="M87" s="23">
        <v>243</v>
      </c>
      <c r="N87" s="23">
        <v>56</v>
      </c>
    </row>
    <row r="88" spans="1:14" x14ac:dyDescent="0.4">
      <c r="A88" s="24" t="s">
        <v>48</v>
      </c>
      <c r="B88" s="22">
        <f t="shared" si="14"/>
        <v>1</v>
      </c>
      <c r="C88" s="22" t="s">
        <v>56</v>
      </c>
      <c r="D88" s="22">
        <f t="shared" si="15"/>
        <v>0</v>
      </c>
      <c r="E88" s="22">
        <f t="shared" si="16"/>
        <v>1</v>
      </c>
      <c r="F88" s="22">
        <f t="shared" si="17"/>
        <v>0</v>
      </c>
      <c r="G88" s="22">
        <f t="shared" si="17"/>
        <v>0</v>
      </c>
      <c r="H88" s="24">
        <v>0.73899999999999999</v>
      </c>
      <c r="I88" s="24">
        <v>1.4800000000000001E-2</v>
      </c>
      <c r="J88" s="23">
        <v>125</v>
      </c>
      <c r="K88" s="23">
        <v>1</v>
      </c>
      <c r="L88" s="22">
        <f t="shared" si="18"/>
        <v>0</v>
      </c>
      <c r="M88" s="23">
        <v>143</v>
      </c>
      <c r="N88" s="23">
        <v>12</v>
      </c>
    </row>
    <row r="89" spans="1:14" x14ac:dyDescent="0.4">
      <c r="A89" s="24" t="s">
        <v>48</v>
      </c>
      <c r="B89" s="22">
        <f t="shared" si="14"/>
        <v>1</v>
      </c>
      <c r="C89" s="22" t="s">
        <v>47</v>
      </c>
      <c r="D89" s="22">
        <f t="shared" si="15"/>
        <v>0</v>
      </c>
      <c r="E89" s="22">
        <f t="shared" si="16"/>
        <v>0</v>
      </c>
      <c r="F89" s="22">
        <f t="shared" si="17"/>
        <v>0</v>
      </c>
      <c r="G89" s="22">
        <f t="shared" si="17"/>
        <v>0</v>
      </c>
      <c r="H89" s="24">
        <v>0.54200000000000004</v>
      </c>
      <c r="I89" s="24">
        <v>1.84E-4</v>
      </c>
      <c r="J89" s="23">
        <v>156</v>
      </c>
      <c r="K89" s="23">
        <v>1</v>
      </c>
      <c r="L89" s="22">
        <f t="shared" si="18"/>
        <v>1</v>
      </c>
      <c r="M89" s="23">
        <v>178</v>
      </c>
      <c r="N89" s="23">
        <v>50</v>
      </c>
    </row>
    <row r="90" spans="1:14" x14ac:dyDescent="0.4">
      <c r="A90" s="24" t="s">
        <v>48</v>
      </c>
      <c r="B90" s="22">
        <f t="shared" si="14"/>
        <v>1</v>
      </c>
      <c r="C90" s="22" t="s">
        <v>53</v>
      </c>
      <c r="D90" s="22">
        <f t="shared" si="15"/>
        <v>0</v>
      </c>
      <c r="E90" s="22">
        <f t="shared" si="16"/>
        <v>0</v>
      </c>
      <c r="F90" s="22">
        <f t="shared" si="17"/>
        <v>0</v>
      </c>
      <c r="G90" s="22">
        <f t="shared" si="17"/>
        <v>1</v>
      </c>
      <c r="H90" s="24">
        <v>0.375</v>
      </c>
      <c r="I90" s="24">
        <v>0.39800000000000002</v>
      </c>
      <c r="J90" s="23">
        <v>112</v>
      </c>
      <c r="K90" s="23">
        <v>15</v>
      </c>
      <c r="L90" s="22">
        <f t="shared" si="18"/>
        <v>0</v>
      </c>
      <c r="M90" s="23">
        <v>271</v>
      </c>
      <c r="N90" s="23">
        <v>43</v>
      </c>
    </row>
    <row r="91" spans="1:14" x14ac:dyDescent="0.4">
      <c r="A91" s="24" t="s">
        <v>48</v>
      </c>
      <c r="B91" s="22">
        <f t="shared" si="14"/>
        <v>1</v>
      </c>
      <c r="C91" s="22" t="s">
        <v>66</v>
      </c>
      <c r="D91" s="22">
        <f t="shared" si="15"/>
        <v>0</v>
      </c>
      <c r="E91" s="22">
        <f t="shared" si="16"/>
        <v>0</v>
      </c>
      <c r="F91" s="22">
        <f t="shared" si="17"/>
        <v>1</v>
      </c>
      <c r="G91" s="22">
        <f t="shared" si="17"/>
        <v>0</v>
      </c>
      <c r="H91" s="24">
        <v>0.73299999999999998</v>
      </c>
      <c r="I91" s="24">
        <v>4.1000000000000002E-2</v>
      </c>
      <c r="J91" s="23">
        <v>140</v>
      </c>
      <c r="K91" s="23">
        <v>1</v>
      </c>
      <c r="L91" s="22">
        <f t="shared" si="18"/>
        <v>0</v>
      </c>
      <c r="M91" s="23">
        <v>192</v>
      </c>
      <c r="N91" s="23">
        <v>29</v>
      </c>
    </row>
    <row r="92" spans="1:14" x14ac:dyDescent="0.4">
      <c r="A92" s="24" t="s">
        <v>48</v>
      </c>
      <c r="B92" s="22">
        <f t="shared" si="14"/>
        <v>1</v>
      </c>
      <c r="C92" s="22" t="s">
        <v>84</v>
      </c>
      <c r="D92" s="22">
        <f t="shared" si="15"/>
        <v>1</v>
      </c>
      <c r="E92" s="22">
        <f t="shared" si="16"/>
        <v>0</v>
      </c>
      <c r="F92" s="22">
        <f t="shared" si="17"/>
        <v>0</v>
      </c>
      <c r="G92" s="22">
        <f t="shared" si="17"/>
        <v>0</v>
      </c>
      <c r="H92" s="24">
        <v>0.88700000000000001</v>
      </c>
      <c r="I92" s="24">
        <v>9.3299999999999998E-3</v>
      </c>
      <c r="J92" s="23">
        <v>113</v>
      </c>
      <c r="K92" s="23">
        <v>12</v>
      </c>
      <c r="L92" s="22">
        <f t="shared" si="18"/>
        <v>0</v>
      </c>
      <c r="M92" s="23">
        <v>183</v>
      </c>
      <c r="N92" s="23">
        <v>55</v>
      </c>
    </row>
    <row r="93" spans="1:14" x14ac:dyDescent="0.4">
      <c r="A93" s="24" t="s">
        <v>67</v>
      </c>
      <c r="B93" s="22">
        <f t="shared" si="14"/>
        <v>0</v>
      </c>
      <c r="C93" s="22" t="s">
        <v>53</v>
      </c>
      <c r="D93" s="22">
        <f t="shared" si="15"/>
        <v>0</v>
      </c>
      <c r="E93" s="22">
        <f t="shared" si="16"/>
        <v>0</v>
      </c>
      <c r="F93" s="22">
        <f t="shared" si="17"/>
        <v>0</v>
      </c>
      <c r="G93" s="22">
        <f t="shared" si="17"/>
        <v>1</v>
      </c>
      <c r="H93" s="24">
        <v>0.57499999999999996</v>
      </c>
      <c r="I93" s="24">
        <v>9.8799999999999999E-2</v>
      </c>
      <c r="J93" s="23">
        <v>96</v>
      </c>
      <c r="K93" s="23">
        <v>3</v>
      </c>
      <c r="L93" s="22">
        <f t="shared" si="18"/>
        <v>0</v>
      </c>
      <c r="M93" s="23">
        <v>204</v>
      </c>
      <c r="N93" s="23">
        <v>69</v>
      </c>
    </row>
    <row r="94" spans="1:14" x14ac:dyDescent="0.4">
      <c r="A94" s="24" t="s">
        <v>48</v>
      </c>
      <c r="B94" s="22">
        <f t="shared" si="14"/>
        <v>1</v>
      </c>
      <c r="C94" s="22" t="s">
        <v>53</v>
      </c>
      <c r="D94" s="22">
        <f t="shared" si="15"/>
        <v>0</v>
      </c>
      <c r="E94" s="22">
        <f t="shared" si="16"/>
        <v>0</v>
      </c>
      <c r="F94" s="22">
        <f t="shared" si="17"/>
        <v>0</v>
      </c>
      <c r="G94" s="22">
        <f t="shared" si="17"/>
        <v>1</v>
      </c>
      <c r="H94" s="24">
        <v>0.75800000000000001</v>
      </c>
      <c r="I94" s="24">
        <v>5.28E-2</v>
      </c>
      <c r="J94" s="23">
        <v>98</v>
      </c>
      <c r="K94" s="23">
        <v>13</v>
      </c>
      <c r="L94" s="22">
        <f t="shared" si="18"/>
        <v>0</v>
      </c>
      <c r="M94" s="23">
        <v>171</v>
      </c>
      <c r="N94" s="23">
        <v>63</v>
      </c>
    </row>
    <row r="95" spans="1:14" x14ac:dyDescent="0.4">
      <c r="A95" s="24" t="s">
        <v>48</v>
      </c>
      <c r="B95" s="22">
        <f t="shared" si="14"/>
        <v>1</v>
      </c>
      <c r="C95" s="22" t="s">
        <v>61</v>
      </c>
      <c r="D95" s="22">
        <f t="shared" si="15"/>
        <v>0</v>
      </c>
      <c r="E95" s="22">
        <f t="shared" si="16"/>
        <v>0</v>
      </c>
      <c r="F95" s="22">
        <f t="shared" si="17"/>
        <v>0</v>
      </c>
      <c r="G95" s="22">
        <f t="shared" si="17"/>
        <v>0</v>
      </c>
      <c r="H95" s="24">
        <v>0.73899999999999999</v>
      </c>
      <c r="I95" s="24">
        <v>0.112</v>
      </c>
      <c r="J95" s="23">
        <v>121</v>
      </c>
      <c r="K95" s="23">
        <v>38</v>
      </c>
      <c r="L95" s="22">
        <f t="shared" si="18"/>
        <v>0</v>
      </c>
      <c r="M95" s="23">
        <v>209</v>
      </c>
      <c r="N95" s="23">
        <v>60</v>
      </c>
    </row>
    <row r="96" spans="1:14" x14ac:dyDescent="0.4">
      <c r="A96" s="24" t="s">
        <v>67</v>
      </c>
      <c r="B96" s="22">
        <f t="shared" si="14"/>
        <v>0</v>
      </c>
      <c r="C96" s="22" t="s">
        <v>61</v>
      </c>
      <c r="D96" s="22">
        <f t="shared" si="15"/>
        <v>0</v>
      </c>
      <c r="E96" s="22">
        <f t="shared" si="16"/>
        <v>0</v>
      </c>
      <c r="F96" s="22">
        <f t="shared" si="17"/>
        <v>0</v>
      </c>
      <c r="G96" s="22">
        <f t="shared" si="17"/>
        <v>0</v>
      </c>
      <c r="H96" s="24">
        <v>0.39700000000000002</v>
      </c>
      <c r="I96" s="24">
        <v>0.218</v>
      </c>
      <c r="J96" s="23">
        <v>162</v>
      </c>
      <c r="K96" s="23">
        <v>8</v>
      </c>
      <c r="L96" s="22">
        <f t="shared" si="18"/>
        <v>0</v>
      </c>
      <c r="M96" s="23">
        <v>348</v>
      </c>
      <c r="N96" s="23">
        <v>21</v>
      </c>
    </row>
    <row r="97" spans="1:14" x14ac:dyDescent="0.4">
      <c r="A97" s="24" t="s">
        <v>48</v>
      </c>
      <c r="B97" s="22">
        <f t="shared" si="14"/>
        <v>1</v>
      </c>
      <c r="C97" s="22" t="s">
        <v>56</v>
      </c>
      <c r="D97" s="22">
        <f t="shared" si="15"/>
        <v>0</v>
      </c>
      <c r="E97" s="22">
        <f t="shared" si="16"/>
        <v>1</v>
      </c>
      <c r="F97" s="22">
        <f t="shared" si="17"/>
        <v>0</v>
      </c>
      <c r="G97" s="22">
        <f t="shared" si="17"/>
        <v>0</v>
      </c>
      <c r="H97" s="24">
        <v>0.78600000000000003</v>
      </c>
      <c r="I97" s="24">
        <v>7.2400000000000006E-2</v>
      </c>
      <c r="J97" s="23">
        <v>128</v>
      </c>
      <c r="K97" s="23">
        <v>1</v>
      </c>
      <c r="L97" s="22">
        <f t="shared" si="18"/>
        <v>0</v>
      </c>
      <c r="M97" s="23">
        <v>158</v>
      </c>
      <c r="N97" s="23">
        <v>31</v>
      </c>
    </row>
    <row r="98" spans="1:14" x14ac:dyDescent="0.4">
      <c r="A98" s="24" t="s">
        <v>48</v>
      </c>
      <c r="B98" s="22">
        <f t="shared" ref="B98:B129" si="19">IF($A98=B$1, 1, 0)</f>
        <v>1</v>
      </c>
      <c r="C98" s="22" t="s">
        <v>61</v>
      </c>
      <c r="D98" s="22">
        <f t="shared" ref="D98:D129" si="20">IF($C98=D$1, 1, 0)</f>
        <v>0</v>
      </c>
      <c r="E98" s="22">
        <f t="shared" si="16"/>
        <v>0</v>
      </c>
      <c r="F98" s="22">
        <f t="shared" si="17"/>
        <v>0</v>
      </c>
      <c r="G98" s="22">
        <f t="shared" si="17"/>
        <v>0</v>
      </c>
      <c r="H98" s="24">
        <v>0.51700000000000002</v>
      </c>
      <c r="I98" s="24">
        <v>0.115</v>
      </c>
      <c r="J98" s="23">
        <v>151</v>
      </c>
      <c r="K98" s="23">
        <v>42</v>
      </c>
      <c r="L98" s="22">
        <f t="shared" si="18"/>
        <v>0</v>
      </c>
      <c r="M98" s="23">
        <v>221</v>
      </c>
      <c r="N98" s="23">
        <v>45</v>
      </c>
    </row>
    <row r="99" spans="1:14" x14ac:dyDescent="0.4">
      <c r="A99" s="24" t="s">
        <v>48</v>
      </c>
      <c r="B99" s="22">
        <f t="shared" si="19"/>
        <v>1</v>
      </c>
      <c r="C99" s="22" t="s">
        <v>61</v>
      </c>
      <c r="D99" s="22">
        <f t="shared" si="20"/>
        <v>0</v>
      </c>
      <c r="E99" s="22">
        <f t="shared" ref="E99:E130" si="21">IF($C99=E$1, 1, 0)</f>
        <v>0</v>
      </c>
      <c r="F99" s="22">
        <f t="shared" si="17"/>
        <v>0</v>
      </c>
      <c r="G99" s="22">
        <f t="shared" si="17"/>
        <v>0</v>
      </c>
      <c r="H99" s="24">
        <v>0.56499999999999995</v>
      </c>
      <c r="I99" s="24">
        <v>4.41E-2</v>
      </c>
      <c r="J99" s="23">
        <v>112</v>
      </c>
      <c r="K99" s="23">
        <v>33</v>
      </c>
      <c r="L99" s="22">
        <f t="shared" si="18"/>
        <v>0</v>
      </c>
      <c r="M99" s="23">
        <v>233</v>
      </c>
      <c r="N99" s="23">
        <v>42</v>
      </c>
    </row>
    <row r="100" spans="1:14" x14ac:dyDescent="0.4">
      <c r="A100" s="24" t="s">
        <v>67</v>
      </c>
      <c r="B100" s="22">
        <f t="shared" si="19"/>
        <v>0</v>
      </c>
      <c r="C100" s="22" t="s">
        <v>47</v>
      </c>
      <c r="D100" s="22">
        <f t="shared" si="20"/>
        <v>0</v>
      </c>
      <c r="E100" s="22">
        <f t="shared" si="21"/>
        <v>0</v>
      </c>
      <c r="F100" s="22">
        <f t="shared" si="17"/>
        <v>0</v>
      </c>
      <c r="G100" s="22">
        <f t="shared" si="17"/>
        <v>0</v>
      </c>
      <c r="H100" s="24">
        <v>0.90600000000000003</v>
      </c>
      <c r="I100" s="24">
        <v>0.18</v>
      </c>
      <c r="J100" s="23">
        <v>104</v>
      </c>
      <c r="K100" s="23">
        <v>2</v>
      </c>
      <c r="L100" s="22">
        <f t="shared" si="18"/>
        <v>1</v>
      </c>
      <c r="M100" s="23">
        <v>129</v>
      </c>
      <c r="N100" s="23">
        <v>78</v>
      </c>
    </row>
    <row r="101" spans="1:14" x14ac:dyDescent="0.4">
      <c r="A101" s="24" t="s">
        <v>48</v>
      </c>
      <c r="B101" s="22">
        <f t="shared" si="19"/>
        <v>1</v>
      </c>
      <c r="C101" s="22" t="s">
        <v>84</v>
      </c>
      <c r="D101" s="22">
        <f t="shared" si="20"/>
        <v>1</v>
      </c>
      <c r="E101" s="22">
        <f t="shared" si="21"/>
        <v>0</v>
      </c>
      <c r="F101" s="22">
        <f t="shared" si="17"/>
        <v>0</v>
      </c>
      <c r="G101" s="22">
        <f t="shared" si="17"/>
        <v>0</v>
      </c>
      <c r="H101" s="24">
        <v>0.59799999999999998</v>
      </c>
      <c r="I101" s="24">
        <v>6.5500000000000003E-2</v>
      </c>
      <c r="J101" s="23">
        <v>114</v>
      </c>
      <c r="K101" s="23">
        <v>1</v>
      </c>
      <c r="L101" s="22">
        <f t="shared" si="18"/>
        <v>0</v>
      </c>
      <c r="M101" s="23">
        <v>230</v>
      </c>
      <c r="N101" s="23">
        <v>55</v>
      </c>
    </row>
    <row r="102" spans="1:14" x14ac:dyDescent="0.4">
      <c r="A102" s="24" t="s">
        <v>48</v>
      </c>
      <c r="B102" s="22">
        <f t="shared" si="19"/>
        <v>1</v>
      </c>
      <c r="C102" s="22" t="s">
        <v>47</v>
      </c>
      <c r="D102" s="22">
        <f t="shared" si="20"/>
        <v>0</v>
      </c>
      <c r="E102" s="22">
        <f t="shared" si="21"/>
        <v>0</v>
      </c>
      <c r="F102" s="22">
        <f t="shared" ref="F102:G121" si="22">IF($C102=F$1, 1, 0)</f>
        <v>0</v>
      </c>
      <c r="G102" s="22">
        <f t="shared" si="22"/>
        <v>0</v>
      </c>
      <c r="H102" s="24">
        <v>0.63900000000000001</v>
      </c>
      <c r="I102" s="24">
        <v>6.3200000000000006E-2</v>
      </c>
      <c r="J102" s="23">
        <v>123</v>
      </c>
      <c r="K102" s="23">
        <v>5</v>
      </c>
      <c r="L102" s="22">
        <f t="shared" ref="L102:L121" si="23">IF($C102=L$1, 1, 0)</f>
        <v>1</v>
      </c>
      <c r="M102" s="23">
        <v>235</v>
      </c>
      <c r="N102" s="23">
        <v>19</v>
      </c>
    </row>
    <row r="103" spans="1:14" x14ac:dyDescent="0.4">
      <c r="A103" s="24" t="s">
        <v>48</v>
      </c>
      <c r="B103" s="22">
        <f t="shared" si="19"/>
        <v>1</v>
      </c>
      <c r="C103" s="22" t="s">
        <v>56</v>
      </c>
      <c r="D103" s="22">
        <f t="shared" si="20"/>
        <v>0</v>
      </c>
      <c r="E103" s="22">
        <f t="shared" si="21"/>
        <v>1</v>
      </c>
      <c r="F103" s="22">
        <f t="shared" si="22"/>
        <v>0</v>
      </c>
      <c r="G103" s="22">
        <f t="shared" si="22"/>
        <v>0</v>
      </c>
      <c r="H103" s="24">
        <v>0.80100000000000005</v>
      </c>
      <c r="I103" s="24">
        <v>9.2600000000000001E-5</v>
      </c>
      <c r="J103" s="23">
        <v>120</v>
      </c>
      <c r="K103" s="23">
        <v>1</v>
      </c>
      <c r="L103" s="22">
        <f t="shared" si="23"/>
        <v>0</v>
      </c>
      <c r="M103" s="23">
        <v>260</v>
      </c>
      <c r="N103" s="23">
        <v>8</v>
      </c>
    </row>
    <row r="104" spans="1:14" x14ac:dyDescent="0.4">
      <c r="A104" s="24" t="s">
        <v>48</v>
      </c>
      <c r="B104" s="22">
        <f t="shared" si="19"/>
        <v>1</v>
      </c>
      <c r="C104" s="22" t="s">
        <v>61</v>
      </c>
      <c r="D104" s="22">
        <f t="shared" si="20"/>
        <v>0</v>
      </c>
      <c r="E104" s="22">
        <f t="shared" si="21"/>
        <v>0</v>
      </c>
      <c r="F104" s="22">
        <f t="shared" si="22"/>
        <v>0</v>
      </c>
      <c r="G104" s="22">
        <f t="shared" si="22"/>
        <v>0</v>
      </c>
      <c r="H104" s="24">
        <v>0.65100000000000002</v>
      </c>
      <c r="I104" s="24">
        <v>0.16700000000000001</v>
      </c>
      <c r="J104" s="23">
        <v>97</v>
      </c>
      <c r="K104" s="23">
        <v>43</v>
      </c>
      <c r="L104" s="22">
        <f t="shared" si="23"/>
        <v>0</v>
      </c>
      <c r="M104" s="23">
        <v>226</v>
      </c>
      <c r="N104" s="23">
        <v>57</v>
      </c>
    </row>
    <row r="105" spans="1:14" x14ac:dyDescent="0.4">
      <c r="A105" s="24" t="s">
        <v>67</v>
      </c>
      <c r="B105" s="22">
        <f t="shared" si="19"/>
        <v>0</v>
      </c>
      <c r="C105" s="22" t="s">
        <v>53</v>
      </c>
      <c r="D105" s="22">
        <f t="shared" si="20"/>
        <v>0</v>
      </c>
      <c r="E105" s="22">
        <f t="shared" si="21"/>
        <v>0</v>
      </c>
      <c r="F105" s="22">
        <f t="shared" si="22"/>
        <v>0</v>
      </c>
      <c r="G105" s="22">
        <f t="shared" si="22"/>
        <v>1</v>
      </c>
      <c r="H105" s="24">
        <v>0.748</v>
      </c>
      <c r="I105" s="24">
        <v>0.21099999999999999</v>
      </c>
      <c r="J105" s="23">
        <v>80</v>
      </c>
      <c r="K105" s="23">
        <v>2</v>
      </c>
      <c r="L105" s="22">
        <f t="shared" si="23"/>
        <v>0</v>
      </c>
      <c r="M105" s="23">
        <v>158</v>
      </c>
      <c r="N105" s="23">
        <v>50</v>
      </c>
    </row>
    <row r="106" spans="1:14" x14ac:dyDescent="0.4">
      <c r="A106" s="24" t="s">
        <v>67</v>
      </c>
      <c r="B106" s="22">
        <f t="shared" si="19"/>
        <v>0</v>
      </c>
      <c r="C106" s="22" t="s">
        <v>53</v>
      </c>
      <c r="D106" s="22">
        <f t="shared" si="20"/>
        <v>0</v>
      </c>
      <c r="E106" s="22">
        <f t="shared" si="21"/>
        <v>0</v>
      </c>
      <c r="F106" s="22">
        <f t="shared" si="22"/>
        <v>0</v>
      </c>
      <c r="G106" s="22">
        <f t="shared" si="22"/>
        <v>1</v>
      </c>
      <c r="H106" s="24">
        <v>0.77100000000000002</v>
      </c>
      <c r="I106" s="24">
        <v>0.26</v>
      </c>
      <c r="J106" s="23">
        <v>170</v>
      </c>
      <c r="K106" s="23">
        <v>1</v>
      </c>
      <c r="L106" s="22">
        <f t="shared" si="23"/>
        <v>0</v>
      </c>
      <c r="M106" s="23">
        <v>242</v>
      </c>
      <c r="N106" s="23">
        <v>43</v>
      </c>
    </row>
    <row r="107" spans="1:14" x14ac:dyDescent="0.4">
      <c r="A107" s="24" t="s">
        <v>48</v>
      </c>
      <c r="B107" s="22">
        <f t="shared" si="19"/>
        <v>1</v>
      </c>
      <c r="C107" s="22" t="s">
        <v>66</v>
      </c>
      <c r="D107" s="22">
        <f t="shared" si="20"/>
        <v>0</v>
      </c>
      <c r="E107" s="22">
        <f t="shared" si="21"/>
        <v>0</v>
      </c>
      <c r="F107" s="22">
        <f t="shared" si="22"/>
        <v>1</v>
      </c>
      <c r="G107" s="22">
        <f t="shared" si="22"/>
        <v>0</v>
      </c>
      <c r="H107" s="24">
        <v>0.41499999999999998</v>
      </c>
      <c r="I107" s="24">
        <v>8.3600000000000005E-4</v>
      </c>
      <c r="J107" s="23">
        <v>136</v>
      </c>
      <c r="K107" s="23">
        <v>6</v>
      </c>
      <c r="L107" s="22">
        <f t="shared" si="23"/>
        <v>0</v>
      </c>
      <c r="M107" s="23">
        <v>256</v>
      </c>
      <c r="N107" s="23">
        <v>26</v>
      </c>
    </row>
    <row r="108" spans="1:14" x14ac:dyDescent="0.4">
      <c r="A108" s="24" t="s">
        <v>48</v>
      </c>
      <c r="B108" s="22">
        <f t="shared" si="19"/>
        <v>1</v>
      </c>
      <c r="C108" s="22" t="s">
        <v>66</v>
      </c>
      <c r="D108" s="22">
        <f t="shared" si="20"/>
        <v>0</v>
      </c>
      <c r="E108" s="22">
        <f t="shared" si="21"/>
        <v>0</v>
      </c>
      <c r="F108" s="22">
        <f t="shared" si="22"/>
        <v>1</v>
      </c>
      <c r="G108" s="22">
        <f t="shared" si="22"/>
        <v>0</v>
      </c>
      <c r="H108" s="24">
        <v>0.54300000000000004</v>
      </c>
      <c r="I108" s="24">
        <v>2.5899999999999999E-2</v>
      </c>
      <c r="J108" s="23">
        <v>170</v>
      </c>
      <c r="K108" s="23">
        <v>33</v>
      </c>
      <c r="L108" s="22">
        <f t="shared" si="23"/>
        <v>0</v>
      </c>
      <c r="M108" s="23">
        <v>258</v>
      </c>
      <c r="N108" s="23">
        <v>49</v>
      </c>
    </row>
    <row r="109" spans="1:14" x14ac:dyDescent="0.4">
      <c r="A109" s="24" t="s">
        <v>67</v>
      </c>
      <c r="B109" s="22">
        <f t="shared" si="19"/>
        <v>0</v>
      </c>
      <c r="C109" s="22" t="s">
        <v>61</v>
      </c>
      <c r="D109" s="22">
        <f t="shared" si="20"/>
        <v>0</v>
      </c>
      <c r="E109" s="22">
        <f t="shared" si="21"/>
        <v>0</v>
      </c>
      <c r="F109" s="22">
        <f t="shared" si="22"/>
        <v>0</v>
      </c>
      <c r="G109" s="22">
        <f t="shared" si="22"/>
        <v>0</v>
      </c>
      <c r="H109" s="24">
        <v>0.505</v>
      </c>
      <c r="I109" s="24">
        <v>8.9700000000000002E-2</v>
      </c>
      <c r="J109" s="23">
        <v>106</v>
      </c>
      <c r="K109" s="23">
        <v>53</v>
      </c>
      <c r="L109" s="22">
        <f t="shared" si="23"/>
        <v>0</v>
      </c>
      <c r="M109" s="23">
        <v>176</v>
      </c>
      <c r="N109" s="23">
        <v>11</v>
      </c>
    </row>
    <row r="110" spans="1:14" x14ac:dyDescent="0.4">
      <c r="A110" s="24" t="s">
        <v>67</v>
      </c>
      <c r="B110" s="22">
        <f t="shared" si="19"/>
        <v>0</v>
      </c>
      <c r="C110" s="22" t="s">
        <v>61</v>
      </c>
      <c r="D110" s="22">
        <f t="shared" si="20"/>
        <v>0</v>
      </c>
      <c r="E110" s="22">
        <f t="shared" si="21"/>
        <v>0</v>
      </c>
      <c r="F110" s="22">
        <f t="shared" si="22"/>
        <v>0</v>
      </c>
      <c r="G110" s="22">
        <f t="shared" si="22"/>
        <v>0</v>
      </c>
      <c r="H110" s="24">
        <v>0.39400000000000002</v>
      </c>
      <c r="I110" s="24">
        <v>0.33900000000000002</v>
      </c>
      <c r="J110" s="23">
        <v>178</v>
      </c>
      <c r="K110" s="23">
        <v>24</v>
      </c>
      <c r="L110" s="22">
        <f t="shared" si="23"/>
        <v>0</v>
      </c>
      <c r="M110" s="23">
        <v>384</v>
      </c>
      <c r="N110" s="23">
        <v>38</v>
      </c>
    </row>
    <row r="111" spans="1:14" x14ac:dyDescent="0.4">
      <c r="A111" s="24" t="s">
        <v>48</v>
      </c>
      <c r="B111" s="22">
        <f t="shared" si="19"/>
        <v>1</v>
      </c>
      <c r="C111" s="22" t="s">
        <v>56</v>
      </c>
      <c r="D111" s="22">
        <f t="shared" si="20"/>
        <v>0</v>
      </c>
      <c r="E111" s="22">
        <f t="shared" si="21"/>
        <v>1</v>
      </c>
      <c r="F111" s="22">
        <f t="shared" si="22"/>
        <v>0</v>
      </c>
      <c r="G111" s="22">
        <f t="shared" si="22"/>
        <v>0</v>
      </c>
      <c r="H111" s="24">
        <v>0.5</v>
      </c>
      <c r="I111" s="24">
        <v>3.6200000000000003E-2</v>
      </c>
      <c r="J111" s="23">
        <v>126</v>
      </c>
      <c r="K111" s="23">
        <v>5</v>
      </c>
      <c r="L111" s="22">
        <f t="shared" si="23"/>
        <v>0</v>
      </c>
      <c r="M111" s="23">
        <v>210</v>
      </c>
      <c r="N111" s="23">
        <v>6</v>
      </c>
    </row>
    <row r="112" spans="1:14" x14ac:dyDescent="0.4">
      <c r="A112" s="24" t="s">
        <v>48</v>
      </c>
      <c r="B112" s="22">
        <f t="shared" si="19"/>
        <v>1</v>
      </c>
      <c r="C112" s="22" t="s">
        <v>66</v>
      </c>
      <c r="D112" s="22">
        <f t="shared" si="20"/>
        <v>0</v>
      </c>
      <c r="E112" s="22">
        <f t="shared" si="21"/>
        <v>0</v>
      </c>
      <c r="F112" s="22">
        <f t="shared" si="22"/>
        <v>1</v>
      </c>
      <c r="G112" s="22">
        <f t="shared" si="22"/>
        <v>0</v>
      </c>
      <c r="H112" s="24">
        <v>0.752</v>
      </c>
      <c r="I112" s="24">
        <v>2.2800000000000001E-2</v>
      </c>
      <c r="J112" s="23">
        <v>106</v>
      </c>
      <c r="K112" s="23">
        <v>17</v>
      </c>
      <c r="L112" s="22">
        <f t="shared" si="23"/>
        <v>0</v>
      </c>
      <c r="M112" s="23">
        <v>245</v>
      </c>
      <c r="N112" s="23">
        <v>27</v>
      </c>
    </row>
    <row r="113" spans="1:14" x14ac:dyDescent="0.4">
      <c r="A113" s="24" t="s">
        <v>48</v>
      </c>
      <c r="B113" s="22">
        <f t="shared" si="19"/>
        <v>1</v>
      </c>
      <c r="C113" s="22" t="s">
        <v>47</v>
      </c>
      <c r="D113" s="22">
        <f t="shared" si="20"/>
        <v>0</v>
      </c>
      <c r="E113" s="22">
        <f t="shared" si="21"/>
        <v>0</v>
      </c>
      <c r="F113" s="22">
        <f t="shared" si="22"/>
        <v>0</v>
      </c>
      <c r="G113" s="22">
        <f t="shared" si="22"/>
        <v>0</v>
      </c>
      <c r="H113" s="24">
        <v>0.44700000000000001</v>
      </c>
      <c r="I113" s="24">
        <v>2.93E-2</v>
      </c>
      <c r="J113" s="23">
        <v>176</v>
      </c>
      <c r="K113" s="23">
        <v>13</v>
      </c>
      <c r="L113" s="22">
        <f t="shared" si="23"/>
        <v>1</v>
      </c>
      <c r="M113" s="23">
        <v>228</v>
      </c>
      <c r="N113" s="23">
        <v>72</v>
      </c>
    </row>
    <row r="114" spans="1:14" x14ac:dyDescent="0.4">
      <c r="A114" s="24" t="s">
        <v>48</v>
      </c>
      <c r="B114" s="22">
        <f t="shared" si="19"/>
        <v>1</v>
      </c>
      <c r="C114" s="22" t="s">
        <v>61</v>
      </c>
      <c r="D114" s="22">
        <f t="shared" si="20"/>
        <v>0</v>
      </c>
      <c r="E114" s="22">
        <f t="shared" si="21"/>
        <v>0</v>
      </c>
      <c r="F114" s="22">
        <f t="shared" si="22"/>
        <v>0</v>
      </c>
      <c r="G114" s="22">
        <f t="shared" si="22"/>
        <v>0</v>
      </c>
      <c r="H114" s="24">
        <v>0.63300000000000001</v>
      </c>
      <c r="I114" s="24">
        <v>0.34</v>
      </c>
      <c r="J114" s="23">
        <v>81</v>
      </c>
      <c r="K114" s="23">
        <v>40</v>
      </c>
      <c r="L114" s="22">
        <f t="shared" si="23"/>
        <v>0</v>
      </c>
      <c r="M114" s="23">
        <v>355</v>
      </c>
      <c r="N114" s="23">
        <v>53</v>
      </c>
    </row>
    <row r="115" spans="1:14" x14ac:dyDescent="0.4">
      <c r="A115" s="24" t="s">
        <v>48</v>
      </c>
      <c r="B115" s="22">
        <f t="shared" si="19"/>
        <v>1</v>
      </c>
      <c r="C115" s="22" t="s">
        <v>47</v>
      </c>
      <c r="D115" s="22">
        <f t="shared" si="20"/>
        <v>0</v>
      </c>
      <c r="E115" s="22">
        <f t="shared" si="21"/>
        <v>0</v>
      </c>
      <c r="F115" s="22">
        <f t="shared" si="22"/>
        <v>0</v>
      </c>
      <c r="G115" s="22">
        <f t="shared" si="22"/>
        <v>0</v>
      </c>
      <c r="H115" s="24">
        <v>0.56100000000000005</v>
      </c>
      <c r="I115" s="24">
        <v>0.106</v>
      </c>
      <c r="J115" s="23">
        <v>160</v>
      </c>
      <c r="K115" s="23">
        <v>1</v>
      </c>
      <c r="L115" s="22">
        <f t="shared" si="23"/>
        <v>1</v>
      </c>
      <c r="M115" s="23">
        <v>219</v>
      </c>
      <c r="N115" s="23">
        <v>81</v>
      </c>
    </row>
    <row r="116" spans="1:14" x14ac:dyDescent="0.4">
      <c r="A116" s="24" t="s">
        <v>48</v>
      </c>
      <c r="B116" s="22">
        <f t="shared" si="19"/>
        <v>1</v>
      </c>
      <c r="C116" s="22" t="s">
        <v>56</v>
      </c>
      <c r="D116" s="22">
        <f t="shared" si="20"/>
        <v>0</v>
      </c>
      <c r="E116" s="22">
        <f t="shared" si="21"/>
        <v>1</v>
      </c>
      <c r="F116" s="22">
        <f t="shared" si="22"/>
        <v>0</v>
      </c>
      <c r="G116" s="22">
        <f t="shared" si="22"/>
        <v>0</v>
      </c>
      <c r="H116" s="24">
        <v>0.44800000000000001</v>
      </c>
      <c r="I116" s="24">
        <v>1.72E-3</v>
      </c>
      <c r="J116" s="23">
        <v>128</v>
      </c>
      <c r="K116" s="23">
        <v>1</v>
      </c>
      <c r="L116" s="22">
        <f t="shared" si="23"/>
        <v>0</v>
      </c>
      <c r="M116" s="23">
        <v>218</v>
      </c>
      <c r="N116" s="23">
        <v>50</v>
      </c>
    </row>
    <row r="117" spans="1:14" x14ac:dyDescent="0.4">
      <c r="A117" s="24" t="s">
        <v>48</v>
      </c>
      <c r="B117" s="22">
        <f t="shared" si="19"/>
        <v>1</v>
      </c>
      <c r="C117" s="22" t="s">
        <v>66</v>
      </c>
      <c r="D117" s="22">
        <f t="shared" si="20"/>
        <v>0</v>
      </c>
      <c r="E117" s="22">
        <f t="shared" si="21"/>
        <v>0</v>
      </c>
      <c r="F117" s="22">
        <f t="shared" si="22"/>
        <v>1</v>
      </c>
      <c r="G117" s="22">
        <f t="shared" si="22"/>
        <v>0</v>
      </c>
      <c r="H117" s="24">
        <v>0.83</v>
      </c>
      <c r="I117" s="24">
        <v>0.188</v>
      </c>
      <c r="J117" s="23">
        <v>90</v>
      </c>
      <c r="K117" s="23">
        <v>6</v>
      </c>
      <c r="L117" s="22">
        <f t="shared" si="23"/>
        <v>0</v>
      </c>
      <c r="M117" s="23">
        <v>215</v>
      </c>
      <c r="N117" s="23">
        <v>52</v>
      </c>
    </row>
    <row r="118" spans="1:14" x14ac:dyDescent="0.4">
      <c r="A118" s="24" t="s">
        <v>48</v>
      </c>
      <c r="B118" s="22">
        <f t="shared" si="19"/>
        <v>1</v>
      </c>
      <c r="C118" s="22" t="s">
        <v>84</v>
      </c>
      <c r="D118" s="22">
        <f t="shared" si="20"/>
        <v>1</v>
      </c>
      <c r="E118" s="22">
        <f t="shared" si="21"/>
        <v>0</v>
      </c>
      <c r="F118" s="22">
        <f t="shared" si="22"/>
        <v>0</v>
      </c>
      <c r="G118" s="22">
        <f t="shared" si="22"/>
        <v>0</v>
      </c>
      <c r="H118" s="24">
        <v>0.46800000000000003</v>
      </c>
      <c r="I118" s="24">
        <v>0.21</v>
      </c>
      <c r="J118" s="23">
        <v>133</v>
      </c>
      <c r="K118" s="23">
        <v>2</v>
      </c>
      <c r="L118" s="22">
        <f t="shared" si="23"/>
        <v>0</v>
      </c>
      <c r="M118" s="23">
        <v>168</v>
      </c>
      <c r="N118" s="23">
        <v>44</v>
      </c>
    </row>
    <row r="119" spans="1:14" x14ac:dyDescent="0.4">
      <c r="A119" s="24" t="s">
        <v>48</v>
      </c>
      <c r="B119" s="22">
        <f t="shared" si="19"/>
        <v>1</v>
      </c>
      <c r="C119" s="22" t="s">
        <v>56</v>
      </c>
      <c r="D119" s="22">
        <f t="shared" si="20"/>
        <v>0</v>
      </c>
      <c r="E119" s="22">
        <f t="shared" si="21"/>
        <v>1</v>
      </c>
      <c r="F119" s="22">
        <f t="shared" si="22"/>
        <v>0</v>
      </c>
      <c r="G119" s="22">
        <f t="shared" si="22"/>
        <v>0</v>
      </c>
      <c r="H119" s="24">
        <v>0.53600000000000003</v>
      </c>
      <c r="I119" s="24">
        <v>1.6899999999999999E-4</v>
      </c>
      <c r="J119" s="23">
        <v>128</v>
      </c>
      <c r="K119" s="23">
        <v>6</v>
      </c>
      <c r="L119" s="22">
        <f t="shared" si="23"/>
        <v>0</v>
      </c>
      <c r="M119" s="23">
        <v>306</v>
      </c>
      <c r="N119" s="23">
        <v>34</v>
      </c>
    </row>
    <row r="120" spans="1:14" x14ac:dyDescent="0.4">
      <c r="A120" s="24" t="s">
        <v>48</v>
      </c>
      <c r="B120" s="22">
        <f t="shared" si="19"/>
        <v>1</v>
      </c>
      <c r="C120" s="22" t="s">
        <v>61</v>
      </c>
      <c r="D120" s="22">
        <f t="shared" si="20"/>
        <v>0</v>
      </c>
      <c r="E120" s="22">
        <f t="shared" si="21"/>
        <v>0</v>
      </c>
      <c r="F120" s="22">
        <f t="shared" si="22"/>
        <v>0</v>
      </c>
      <c r="G120" s="22">
        <f t="shared" si="22"/>
        <v>0</v>
      </c>
      <c r="H120" s="24">
        <v>0.42099999999999999</v>
      </c>
      <c r="I120" s="24">
        <v>1.34E-2</v>
      </c>
      <c r="J120" s="23">
        <v>173</v>
      </c>
      <c r="K120" s="23">
        <v>16</v>
      </c>
      <c r="L120" s="22">
        <f t="shared" si="23"/>
        <v>0</v>
      </c>
      <c r="M120" s="23">
        <v>207</v>
      </c>
      <c r="N120" s="23">
        <v>68</v>
      </c>
    </row>
    <row r="121" spans="1:14" x14ac:dyDescent="0.4">
      <c r="A121" s="24" t="s">
        <v>48</v>
      </c>
      <c r="B121" s="22">
        <f t="shared" si="19"/>
        <v>1</v>
      </c>
      <c r="C121" s="22" t="s">
        <v>47</v>
      </c>
      <c r="D121" s="22">
        <f t="shared" si="20"/>
        <v>0</v>
      </c>
      <c r="E121" s="22">
        <f t="shared" si="21"/>
        <v>0</v>
      </c>
      <c r="F121" s="22">
        <f t="shared" si="22"/>
        <v>0</v>
      </c>
      <c r="G121" s="22">
        <f t="shared" si="22"/>
        <v>0</v>
      </c>
      <c r="H121" s="24">
        <v>0.72199999999999998</v>
      </c>
      <c r="I121" s="24">
        <v>6.6199999999999995E-2</v>
      </c>
      <c r="J121" s="23">
        <v>110</v>
      </c>
      <c r="K121" s="23">
        <v>2</v>
      </c>
      <c r="L121" s="22">
        <f t="shared" si="23"/>
        <v>1</v>
      </c>
      <c r="M121" s="23">
        <v>195</v>
      </c>
      <c r="N121" s="23">
        <v>43</v>
      </c>
    </row>
    <row r="122" spans="1:14" x14ac:dyDescent="0.4">
      <c r="A122" s="24" t="s">
        <v>48</v>
      </c>
      <c r="B122" s="22">
        <f t="shared" si="19"/>
        <v>1</v>
      </c>
      <c r="C122" s="22" t="s">
        <v>56</v>
      </c>
      <c r="D122" s="22">
        <f t="shared" si="20"/>
        <v>0</v>
      </c>
      <c r="E122" s="22">
        <f t="shared" si="21"/>
        <v>1</v>
      </c>
      <c r="F122" s="22">
        <f t="shared" ref="F122:G141" si="24">IF($C122=F$1, 1, 0)</f>
        <v>0</v>
      </c>
      <c r="G122" s="22">
        <f t="shared" si="24"/>
        <v>0</v>
      </c>
      <c r="H122" s="24">
        <v>0.36</v>
      </c>
      <c r="I122" s="24">
        <v>1.7100000000000001E-2</v>
      </c>
      <c r="J122" s="23">
        <v>107</v>
      </c>
      <c r="K122" s="23">
        <v>1</v>
      </c>
      <c r="L122" s="22">
        <f t="shared" ref="L122:L141" si="25">IF($C122=L$1, 1, 0)</f>
        <v>0</v>
      </c>
      <c r="M122" s="23">
        <v>186</v>
      </c>
      <c r="N122" s="23">
        <v>77</v>
      </c>
    </row>
    <row r="123" spans="1:14" x14ac:dyDescent="0.4">
      <c r="A123" s="24" t="s">
        <v>67</v>
      </c>
      <c r="B123" s="22">
        <f t="shared" si="19"/>
        <v>0</v>
      </c>
      <c r="C123" s="22" t="s">
        <v>66</v>
      </c>
      <c r="D123" s="22">
        <f t="shared" si="20"/>
        <v>0</v>
      </c>
      <c r="E123" s="22">
        <f t="shared" si="21"/>
        <v>0</v>
      </c>
      <c r="F123" s="22">
        <f t="shared" si="24"/>
        <v>1</v>
      </c>
      <c r="G123" s="22">
        <f t="shared" si="24"/>
        <v>0</v>
      </c>
      <c r="H123" s="24">
        <v>0.69099999999999995</v>
      </c>
      <c r="I123" s="24">
        <v>0.28399999999999997</v>
      </c>
      <c r="J123" s="23">
        <v>96</v>
      </c>
      <c r="K123" s="23">
        <v>18</v>
      </c>
      <c r="L123" s="22">
        <f t="shared" si="25"/>
        <v>0</v>
      </c>
      <c r="M123" s="23">
        <v>210</v>
      </c>
      <c r="N123" s="23">
        <v>46</v>
      </c>
    </row>
    <row r="124" spans="1:14" x14ac:dyDescent="0.4">
      <c r="A124" s="24" t="s">
        <v>67</v>
      </c>
      <c r="B124" s="22">
        <f t="shared" si="19"/>
        <v>0</v>
      </c>
      <c r="C124" s="22" t="s">
        <v>84</v>
      </c>
      <c r="D124" s="22">
        <f t="shared" si="20"/>
        <v>1</v>
      </c>
      <c r="E124" s="22">
        <f t="shared" si="21"/>
        <v>0</v>
      </c>
      <c r="F124" s="22">
        <f t="shared" si="24"/>
        <v>0</v>
      </c>
      <c r="G124" s="22">
        <f t="shared" si="24"/>
        <v>0</v>
      </c>
      <c r="H124" s="24">
        <v>0.77500000000000002</v>
      </c>
      <c r="I124" s="24">
        <v>0.35499999999999998</v>
      </c>
      <c r="J124" s="23">
        <v>128</v>
      </c>
      <c r="K124" s="23">
        <v>1</v>
      </c>
      <c r="L124" s="22">
        <f t="shared" si="25"/>
        <v>0</v>
      </c>
      <c r="M124" s="23">
        <v>169</v>
      </c>
      <c r="N124" s="23">
        <v>56</v>
      </c>
    </row>
    <row r="125" spans="1:14" x14ac:dyDescent="0.4">
      <c r="A125" s="24" t="s">
        <v>48</v>
      </c>
      <c r="B125" s="22">
        <f t="shared" si="19"/>
        <v>1</v>
      </c>
      <c r="C125" s="22" t="s">
        <v>56</v>
      </c>
      <c r="D125" s="22">
        <f t="shared" si="20"/>
        <v>0</v>
      </c>
      <c r="E125" s="22">
        <f t="shared" si="21"/>
        <v>1</v>
      </c>
      <c r="F125" s="22">
        <f t="shared" si="24"/>
        <v>0</v>
      </c>
      <c r="G125" s="22">
        <f t="shared" si="24"/>
        <v>0</v>
      </c>
      <c r="H125" s="24">
        <v>0.41399999999999998</v>
      </c>
      <c r="I125" s="24">
        <v>1.1599999999999999E-2</v>
      </c>
      <c r="J125" s="23">
        <v>117</v>
      </c>
      <c r="K125" s="23">
        <v>3</v>
      </c>
      <c r="L125" s="22">
        <f t="shared" si="25"/>
        <v>0</v>
      </c>
      <c r="M125" s="23">
        <v>195</v>
      </c>
      <c r="N125" s="23">
        <v>12</v>
      </c>
    </row>
    <row r="126" spans="1:14" x14ac:dyDescent="0.4">
      <c r="A126" s="24" t="s">
        <v>48</v>
      </c>
      <c r="B126" s="22">
        <f t="shared" si="19"/>
        <v>1</v>
      </c>
      <c r="C126" s="22" t="s">
        <v>84</v>
      </c>
      <c r="D126" s="22">
        <f t="shared" si="20"/>
        <v>1</v>
      </c>
      <c r="E126" s="22">
        <f t="shared" si="21"/>
        <v>0</v>
      </c>
      <c r="F126" s="22">
        <f t="shared" si="24"/>
        <v>0</v>
      </c>
      <c r="G126" s="22">
        <f t="shared" si="24"/>
        <v>0</v>
      </c>
      <c r="H126" s="24">
        <v>0.81899999999999995</v>
      </c>
      <c r="I126" s="24">
        <v>1.66E-3</v>
      </c>
      <c r="J126" s="23">
        <v>78</v>
      </c>
      <c r="K126" s="23">
        <v>17</v>
      </c>
      <c r="L126" s="22">
        <f t="shared" si="25"/>
        <v>0</v>
      </c>
      <c r="M126" s="23">
        <v>237</v>
      </c>
      <c r="N126" s="23">
        <v>44</v>
      </c>
    </row>
    <row r="127" spans="1:14" x14ac:dyDescent="0.4">
      <c r="A127" s="24" t="s">
        <v>48</v>
      </c>
      <c r="B127" s="22">
        <f t="shared" si="19"/>
        <v>1</v>
      </c>
      <c r="C127" s="22" t="s">
        <v>84</v>
      </c>
      <c r="D127" s="22">
        <f t="shared" si="20"/>
        <v>1</v>
      </c>
      <c r="E127" s="22">
        <f t="shared" si="21"/>
        <v>0</v>
      </c>
      <c r="F127" s="22">
        <f t="shared" si="24"/>
        <v>0</v>
      </c>
      <c r="G127" s="22">
        <f t="shared" si="24"/>
        <v>0</v>
      </c>
      <c r="H127" s="24">
        <v>0.81399999999999995</v>
      </c>
      <c r="I127" s="24">
        <v>0.17499999999999999</v>
      </c>
      <c r="J127" s="23">
        <v>93</v>
      </c>
      <c r="K127" s="23">
        <v>21</v>
      </c>
      <c r="L127" s="22">
        <f t="shared" si="25"/>
        <v>0</v>
      </c>
      <c r="M127" s="23">
        <v>268</v>
      </c>
      <c r="N127" s="23">
        <v>18</v>
      </c>
    </row>
    <row r="128" spans="1:14" x14ac:dyDescent="0.4">
      <c r="A128" s="24" t="s">
        <v>48</v>
      </c>
      <c r="B128" s="22">
        <f t="shared" si="19"/>
        <v>1</v>
      </c>
      <c r="C128" s="22" t="s">
        <v>56</v>
      </c>
      <c r="D128" s="22">
        <f t="shared" si="20"/>
        <v>0</v>
      </c>
      <c r="E128" s="22">
        <f t="shared" si="21"/>
        <v>1</v>
      </c>
      <c r="F128" s="22">
        <f t="shared" si="24"/>
        <v>0</v>
      </c>
      <c r="G128" s="22">
        <f t="shared" si="24"/>
        <v>0</v>
      </c>
      <c r="H128" s="24">
        <v>0.71199999999999997</v>
      </c>
      <c r="I128" s="24">
        <v>1.2200000000000001E-2</v>
      </c>
      <c r="J128" s="23">
        <v>105</v>
      </c>
      <c r="K128" s="23">
        <v>1</v>
      </c>
      <c r="L128" s="22">
        <f t="shared" si="25"/>
        <v>0</v>
      </c>
      <c r="M128" s="23">
        <v>202</v>
      </c>
      <c r="N128" s="23">
        <v>23</v>
      </c>
    </row>
    <row r="129" spans="1:14" x14ac:dyDescent="0.4">
      <c r="A129" s="24" t="s">
        <v>48</v>
      </c>
      <c r="B129" s="22">
        <f t="shared" si="19"/>
        <v>1</v>
      </c>
      <c r="C129" s="22" t="s">
        <v>56</v>
      </c>
      <c r="D129" s="22">
        <f t="shared" si="20"/>
        <v>0</v>
      </c>
      <c r="E129" s="22">
        <f t="shared" si="21"/>
        <v>1</v>
      </c>
      <c r="F129" s="22">
        <f t="shared" si="24"/>
        <v>0</v>
      </c>
      <c r="G129" s="22">
        <f t="shared" si="24"/>
        <v>0</v>
      </c>
      <c r="H129" s="24">
        <v>0.64200000000000002</v>
      </c>
      <c r="I129" s="24">
        <v>2.6100000000000002E-2</v>
      </c>
      <c r="J129" s="23">
        <v>96</v>
      </c>
      <c r="K129" s="23">
        <v>3</v>
      </c>
      <c r="L129" s="22">
        <f t="shared" si="25"/>
        <v>0</v>
      </c>
      <c r="M129" s="23">
        <v>215</v>
      </c>
      <c r="N129" s="23">
        <v>50</v>
      </c>
    </row>
    <row r="130" spans="1:14" x14ac:dyDescent="0.4">
      <c r="A130" s="24" t="s">
        <v>48</v>
      </c>
      <c r="B130" s="22">
        <f t="shared" ref="B130:B150" si="26">IF($A130=B$1, 1, 0)</f>
        <v>1</v>
      </c>
      <c r="C130" s="22" t="s">
        <v>53</v>
      </c>
      <c r="D130" s="22">
        <f t="shared" ref="D130:D150" si="27">IF($C130=D$1, 1, 0)</f>
        <v>0</v>
      </c>
      <c r="E130" s="22">
        <f t="shared" si="21"/>
        <v>0</v>
      </c>
      <c r="F130" s="22">
        <f t="shared" si="24"/>
        <v>0</v>
      </c>
      <c r="G130" s="22">
        <f t="shared" si="24"/>
        <v>1</v>
      </c>
      <c r="H130" s="24">
        <v>0.755</v>
      </c>
      <c r="I130" s="24">
        <v>5.0299999999999997E-3</v>
      </c>
      <c r="J130" s="23">
        <v>123</v>
      </c>
      <c r="K130" s="23">
        <v>2</v>
      </c>
      <c r="L130" s="22">
        <f t="shared" si="25"/>
        <v>0</v>
      </c>
      <c r="M130" s="23">
        <v>315</v>
      </c>
      <c r="N130" s="23">
        <v>8</v>
      </c>
    </row>
    <row r="131" spans="1:14" x14ac:dyDescent="0.4">
      <c r="A131" s="24" t="s">
        <v>48</v>
      </c>
      <c r="B131" s="22">
        <f t="shared" si="26"/>
        <v>1</v>
      </c>
      <c r="C131" s="22" t="s">
        <v>56</v>
      </c>
      <c r="D131" s="22">
        <f t="shared" si="27"/>
        <v>0</v>
      </c>
      <c r="E131" s="22">
        <f t="shared" ref="E131:E150" si="28">IF($C131=E$1, 1, 0)</f>
        <v>1</v>
      </c>
      <c r="F131" s="22">
        <f t="shared" si="24"/>
        <v>0</v>
      </c>
      <c r="G131" s="22">
        <f t="shared" si="24"/>
        <v>0</v>
      </c>
      <c r="H131" s="24">
        <v>0.71299999999999997</v>
      </c>
      <c r="I131" s="24">
        <v>3.7599999999999999E-3</v>
      </c>
      <c r="J131" s="23">
        <v>127</v>
      </c>
      <c r="K131" s="23">
        <v>1</v>
      </c>
      <c r="L131" s="22">
        <f t="shared" si="25"/>
        <v>0</v>
      </c>
      <c r="M131" s="23">
        <v>189</v>
      </c>
      <c r="N131" s="23">
        <v>39</v>
      </c>
    </row>
    <row r="132" spans="1:14" x14ac:dyDescent="0.4">
      <c r="A132" s="24" t="s">
        <v>48</v>
      </c>
      <c r="B132" s="22">
        <f t="shared" si="26"/>
        <v>1</v>
      </c>
      <c r="C132" s="22" t="s">
        <v>47</v>
      </c>
      <c r="D132" s="22">
        <f t="shared" si="27"/>
        <v>0</v>
      </c>
      <c r="E132" s="22">
        <f t="shared" si="28"/>
        <v>0</v>
      </c>
      <c r="F132" s="22">
        <f t="shared" si="24"/>
        <v>0</v>
      </c>
      <c r="G132" s="22">
        <f t="shared" si="24"/>
        <v>0</v>
      </c>
      <c r="H132" s="24">
        <v>0.68100000000000005</v>
      </c>
      <c r="I132" s="24">
        <v>3.3400000000000001E-3</v>
      </c>
      <c r="J132" s="23">
        <v>118</v>
      </c>
      <c r="K132" s="23">
        <v>10</v>
      </c>
      <c r="L132" s="22">
        <f t="shared" si="25"/>
        <v>1</v>
      </c>
      <c r="M132" s="23">
        <v>316</v>
      </c>
      <c r="N132" s="23">
        <v>54</v>
      </c>
    </row>
    <row r="133" spans="1:14" x14ac:dyDescent="0.4">
      <c r="A133" s="24" t="s">
        <v>48</v>
      </c>
      <c r="B133" s="22">
        <f t="shared" si="26"/>
        <v>1</v>
      </c>
      <c r="C133" s="22" t="s">
        <v>47</v>
      </c>
      <c r="D133" s="22">
        <f t="shared" si="27"/>
        <v>0</v>
      </c>
      <c r="E133" s="22">
        <f t="shared" si="28"/>
        <v>0</v>
      </c>
      <c r="F133" s="22">
        <f t="shared" si="24"/>
        <v>0</v>
      </c>
      <c r="G133" s="22">
        <f t="shared" si="24"/>
        <v>0</v>
      </c>
      <c r="H133" s="24">
        <v>0.69599999999999995</v>
      </c>
      <c r="I133" s="24">
        <v>7.4999999999999997E-2</v>
      </c>
      <c r="J133" s="23">
        <v>98</v>
      </c>
      <c r="K133" s="23">
        <v>3</v>
      </c>
      <c r="L133" s="22">
        <f t="shared" si="25"/>
        <v>1</v>
      </c>
      <c r="M133" s="23">
        <v>216</v>
      </c>
      <c r="N133" s="23">
        <v>76</v>
      </c>
    </row>
    <row r="134" spans="1:14" x14ac:dyDescent="0.4">
      <c r="A134" s="24" t="s">
        <v>48</v>
      </c>
      <c r="B134" s="22">
        <f t="shared" si="26"/>
        <v>1</v>
      </c>
      <c r="C134" s="22" t="s">
        <v>61</v>
      </c>
      <c r="D134" s="22">
        <f t="shared" si="27"/>
        <v>0</v>
      </c>
      <c r="E134" s="22">
        <f t="shared" si="28"/>
        <v>0</v>
      </c>
      <c r="F134" s="22">
        <f t="shared" si="24"/>
        <v>0</v>
      </c>
      <c r="G134" s="22">
        <f t="shared" si="24"/>
        <v>0</v>
      </c>
      <c r="H134" s="24">
        <v>0.40899999999999997</v>
      </c>
      <c r="I134" s="24">
        <v>4.28E-3</v>
      </c>
      <c r="J134" s="23">
        <v>174</v>
      </c>
      <c r="K134" s="23">
        <v>26</v>
      </c>
      <c r="L134" s="22">
        <f t="shared" si="25"/>
        <v>0</v>
      </c>
      <c r="M134" s="23">
        <v>224</v>
      </c>
      <c r="N134" s="23">
        <v>50</v>
      </c>
    </row>
    <row r="135" spans="1:14" x14ac:dyDescent="0.4">
      <c r="A135" s="24" t="s">
        <v>67</v>
      </c>
      <c r="B135" s="22">
        <f t="shared" si="26"/>
        <v>0</v>
      </c>
      <c r="C135" s="22" t="s">
        <v>61</v>
      </c>
      <c r="D135" s="22">
        <f t="shared" si="27"/>
        <v>0</v>
      </c>
      <c r="E135" s="22">
        <f t="shared" si="28"/>
        <v>0</v>
      </c>
      <c r="F135" s="22">
        <f t="shared" si="24"/>
        <v>0</v>
      </c>
      <c r="G135" s="22">
        <f t="shared" si="24"/>
        <v>0</v>
      </c>
      <c r="H135" s="24">
        <v>0.56899999999999995</v>
      </c>
      <c r="I135" s="24">
        <v>0.16600000000000001</v>
      </c>
      <c r="J135" s="23">
        <v>105</v>
      </c>
      <c r="K135" s="23">
        <v>6</v>
      </c>
      <c r="L135" s="22">
        <f t="shared" si="25"/>
        <v>0</v>
      </c>
      <c r="M135" s="23">
        <v>227</v>
      </c>
      <c r="N135" s="23">
        <v>44</v>
      </c>
    </row>
    <row r="136" spans="1:14" x14ac:dyDescent="0.4">
      <c r="A136" s="24" t="s">
        <v>67</v>
      </c>
      <c r="B136" s="22">
        <f t="shared" si="26"/>
        <v>0</v>
      </c>
      <c r="C136" s="22" t="s">
        <v>47</v>
      </c>
      <c r="D136" s="22">
        <f t="shared" si="27"/>
        <v>0</v>
      </c>
      <c r="E136" s="22">
        <f t="shared" si="28"/>
        <v>0</v>
      </c>
      <c r="F136" s="22">
        <f t="shared" si="24"/>
        <v>0</v>
      </c>
      <c r="G136" s="22">
        <f t="shared" si="24"/>
        <v>0</v>
      </c>
      <c r="H136" s="24">
        <v>0.70099999999999996</v>
      </c>
      <c r="I136" s="24">
        <v>8.8800000000000004E-2</v>
      </c>
      <c r="J136" s="23">
        <v>95</v>
      </c>
      <c r="K136" s="23">
        <v>8</v>
      </c>
      <c r="L136" s="22">
        <f t="shared" si="25"/>
        <v>1</v>
      </c>
      <c r="M136" s="23">
        <v>195</v>
      </c>
      <c r="N136" s="23">
        <v>65</v>
      </c>
    </row>
    <row r="137" spans="1:14" x14ac:dyDescent="0.4">
      <c r="A137" s="24" t="s">
        <v>48</v>
      </c>
      <c r="B137" s="22">
        <f t="shared" si="26"/>
        <v>1</v>
      </c>
      <c r="C137" s="22" t="s">
        <v>47</v>
      </c>
      <c r="D137" s="22">
        <f t="shared" si="27"/>
        <v>0</v>
      </c>
      <c r="E137" s="22">
        <f t="shared" si="28"/>
        <v>0</v>
      </c>
      <c r="F137" s="22">
        <f t="shared" si="24"/>
        <v>0</v>
      </c>
      <c r="G137" s="22">
        <f t="shared" si="24"/>
        <v>0</v>
      </c>
      <c r="H137" s="24">
        <v>0.56999999999999995</v>
      </c>
      <c r="I137" s="24">
        <v>1.04E-2</v>
      </c>
      <c r="J137" s="23">
        <v>115</v>
      </c>
      <c r="K137" s="23">
        <v>9</v>
      </c>
      <c r="L137" s="22">
        <f t="shared" si="25"/>
        <v>1</v>
      </c>
      <c r="M137" s="23">
        <v>215</v>
      </c>
      <c r="N137" s="23">
        <v>55</v>
      </c>
    </row>
    <row r="138" spans="1:14" x14ac:dyDescent="0.4">
      <c r="A138" s="24" t="s">
        <v>48</v>
      </c>
      <c r="B138" s="22">
        <f t="shared" si="26"/>
        <v>1</v>
      </c>
      <c r="C138" s="22" t="s">
        <v>56</v>
      </c>
      <c r="D138" s="22">
        <f t="shared" si="27"/>
        <v>0</v>
      </c>
      <c r="E138" s="22">
        <f t="shared" si="28"/>
        <v>1</v>
      </c>
      <c r="F138" s="22">
        <f t="shared" si="24"/>
        <v>0</v>
      </c>
      <c r="G138" s="22">
        <f t="shared" si="24"/>
        <v>0</v>
      </c>
      <c r="H138" s="24">
        <v>0.77400000000000002</v>
      </c>
      <c r="I138" s="24">
        <v>1.15E-2</v>
      </c>
      <c r="J138" s="23">
        <v>128</v>
      </c>
      <c r="K138" s="23">
        <v>7</v>
      </c>
      <c r="L138" s="22">
        <f t="shared" si="25"/>
        <v>0</v>
      </c>
      <c r="M138" s="23">
        <v>182</v>
      </c>
      <c r="N138" s="23">
        <v>39</v>
      </c>
    </row>
    <row r="139" spans="1:14" x14ac:dyDescent="0.4">
      <c r="A139" s="24" t="s">
        <v>48</v>
      </c>
      <c r="B139" s="22">
        <f t="shared" si="26"/>
        <v>1</v>
      </c>
      <c r="C139" s="22" t="s">
        <v>66</v>
      </c>
      <c r="D139" s="22">
        <f t="shared" si="27"/>
        <v>0</v>
      </c>
      <c r="E139" s="22">
        <f t="shared" si="28"/>
        <v>0</v>
      </c>
      <c r="F139" s="22">
        <f t="shared" si="24"/>
        <v>1</v>
      </c>
      <c r="G139" s="22">
        <f t="shared" si="24"/>
        <v>0</v>
      </c>
      <c r="H139" s="24">
        <v>0.77700000000000002</v>
      </c>
      <c r="I139" s="24">
        <v>0.17699999999999999</v>
      </c>
      <c r="J139" s="23">
        <v>128</v>
      </c>
      <c r="K139" s="23">
        <v>5</v>
      </c>
      <c r="L139" s="22">
        <f t="shared" si="25"/>
        <v>0</v>
      </c>
      <c r="M139" s="23">
        <v>189</v>
      </c>
      <c r="N139" s="23">
        <v>52</v>
      </c>
    </row>
    <row r="140" spans="1:14" x14ac:dyDescent="0.4">
      <c r="A140" s="24" t="s">
        <v>48</v>
      </c>
      <c r="B140" s="22">
        <f t="shared" si="26"/>
        <v>1</v>
      </c>
      <c r="C140" s="22" t="s">
        <v>56</v>
      </c>
      <c r="D140" s="22">
        <f t="shared" si="27"/>
        <v>0</v>
      </c>
      <c r="E140" s="22">
        <f t="shared" si="28"/>
        <v>1</v>
      </c>
      <c r="F140" s="22">
        <f t="shared" si="24"/>
        <v>0</v>
      </c>
      <c r="G140" s="22">
        <f t="shared" si="24"/>
        <v>0</v>
      </c>
      <c r="H140" s="24">
        <v>0.82</v>
      </c>
      <c r="I140" s="24">
        <v>8.5800000000000001E-2</v>
      </c>
      <c r="J140" s="23">
        <v>120</v>
      </c>
      <c r="K140" s="23">
        <v>1</v>
      </c>
      <c r="L140" s="22">
        <f t="shared" si="25"/>
        <v>0</v>
      </c>
      <c r="M140" s="23">
        <v>202</v>
      </c>
      <c r="N140" s="23">
        <v>69</v>
      </c>
    </row>
    <row r="141" spans="1:14" x14ac:dyDescent="0.4">
      <c r="A141" s="24" t="s">
        <v>48</v>
      </c>
      <c r="B141" s="22">
        <f t="shared" si="26"/>
        <v>1</v>
      </c>
      <c r="C141" s="22" t="s">
        <v>61</v>
      </c>
      <c r="D141" s="22">
        <f t="shared" si="27"/>
        <v>0</v>
      </c>
      <c r="E141" s="22">
        <f t="shared" si="28"/>
        <v>0</v>
      </c>
      <c r="F141" s="22">
        <f t="shared" si="24"/>
        <v>0</v>
      </c>
      <c r="G141" s="22">
        <f t="shared" si="24"/>
        <v>0</v>
      </c>
      <c r="H141" s="24">
        <v>0.44700000000000001</v>
      </c>
      <c r="I141" s="24">
        <v>4.8300000000000003E-2</v>
      </c>
      <c r="J141" s="23">
        <v>133</v>
      </c>
      <c r="K141" s="23">
        <v>19</v>
      </c>
      <c r="L141" s="22">
        <f t="shared" si="25"/>
        <v>0</v>
      </c>
      <c r="M141" s="23">
        <v>319</v>
      </c>
      <c r="N141" s="23">
        <v>51</v>
      </c>
    </row>
    <row r="142" spans="1:14" x14ac:dyDescent="0.4">
      <c r="A142" s="24" t="s">
        <v>48</v>
      </c>
      <c r="B142" s="22">
        <f t="shared" si="26"/>
        <v>1</v>
      </c>
      <c r="C142" s="22" t="s">
        <v>56</v>
      </c>
      <c r="D142" s="22">
        <f t="shared" si="27"/>
        <v>0</v>
      </c>
      <c r="E142" s="22">
        <f t="shared" si="28"/>
        <v>1</v>
      </c>
      <c r="F142" s="22">
        <f t="shared" ref="F142:G150" si="29">IF($C142=F$1, 1, 0)</f>
        <v>0</v>
      </c>
      <c r="G142" s="22">
        <f t="shared" si="29"/>
        <v>0</v>
      </c>
      <c r="H142" s="24">
        <v>0.88700000000000001</v>
      </c>
      <c r="I142" s="24">
        <v>1.3300000000000001E-4</v>
      </c>
      <c r="J142" s="23">
        <v>127</v>
      </c>
      <c r="K142" s="23">
        <v>8</v>
      </c>
      <c r="L142" s="22">
        <f t="shared" ref="L142:L150" si="30">IF($C142=L$1, 1, 0)</f>
        <v>0</v>
      </c>
      <c r="M142" s="23">
        <v>194</v>
      </c>
      <c r="N142" s="23">
        <v>47</v>
      </c>
    </row>
    <row r="143" spans="1:14" x14ac:dyDescent="0.4">
      <c r="A143" s="24" t="s">
        <v>48</v>
      </c>
      <c r="B143" s="22">
        <f t="shared" si="26"/>
        <v>1</v>
      </c>
      <c r="C143" s="22" t="s">
        <v>66</v>
      </c>
      <c r="D143" s="22">
        <f t="shared" si="27"/>
        <v>0</v>
      </c>
      <c r="E143" s="22">
        <f t="shared" si="28"/>
        <v>0</v>
      </c>
      <c r="F143" s="22">
        <f t="shared" si="29"/>
        <v>1</v>
      </c>
      <c r="G143" s="22">
        <f t="shared" si="29"/>
        <v>0</v>
      </c>
      <c r="H143" s="24">
        <v>0.73399999999999999</v>
      </c>
      <c r="I143" s="24">
        <v>7.5999999999999998E-2</v>
      </c>
      <c r="J143" s="23">
        <v>99</v>
      </c>
      <c r="K143" s="23">
        <v>3</v>
      </c>
      <c r="L143" s="22">
        <f t="shared" si="30"/>
        <v>0</v>
      </c>
      <c r="M143" s="23">
        <v>236</v>
      </c>
      <c r="N143" s="23">
        <v>64</v>
      </c>
    </row>
    <row r="144" spans="1:14" x14ac:dyDescent="0.4">
      <c r="A144" s="24" t="s">
        <v>48</v>
      </c>
      <c r="B144" s="22">
        <f t="shared" si="26"/>
        <v>1</v>
      </c>
      <c r="C144" s="22" t="s">
        <v>66</v>
      </c>
      <c r="D144" s="22">
        <f t="shared" si="27"/>
        <v>0</v>
      </c>
      <c r="E144" s="22">
        <f t="shared" si="28"/>
        <v>0</v>
      </c>
      <c r="F144" s="22">
        <f t="shared" si="29"/>
        <v>1</v>
      </c>
      <c r="G144" s="22">
        <f t="shared" si="29"/>
        <v>0</v>
      </c>
      <c r="H144" s="24">
        <v>0.60899999999999999</v>
      </c>
      <c r="I144" s="24">
        <v>2.3300000000000001E-2</v>
      </c>
      <c r="J144" s="23">
        <v>128</v>
      </c>
      <c r="K144" s="23">
        <v>15</v>
      </c>
      <c r="L144" s="22">
        <f t="shared" si="30"/>
        <v>0</v>
      </c>
      <c r="M144" s="23">
        <v>256</v>
      </c>
      <c r="N144" s="23">
        <v>27</v>
      </c>
    </row>
    <row r="145" spans="1:14" x14ac:dyDescent="0.4">
      <c r="A145" s="24" t="s">
        <v>48</v>
      </c>
      <c r="B145" s="22">
        <f t="shared" si="26"/>
        <v>1</v>
      </c>
      <c r="C145" s="22" t="s">
        <v>47</v>
      </c>
      <c r="D145" s="22">
        <f t="shared" si="27"/>
        <v>0</v>
      </c>
      <c r="E145" s="22">
        <f t="shared" si="28"/>
        <v>0</v>
      </c>
      <c r="F145" s="22">
        <f t="shared" si="29"/>
        <v>0</v>
      </c>
      <c r="G145" s="22">
        <f t="shared" si="29"/>
        <v>0</v>
      </c>
      <c r="H145" s="24">
        <v>0.53100000000000003</v>
      </c>
      <c r="I145" s="24">
        <v>2.4299999999999999E-2</v>
      </c>
      <c r="J145" s="23">
        <v>145</v>
      </c>
      <c r="K145" s="23">
        <v>1</v>
      </c>
      <c r="L145" s="22">
        <f t="shared" si="30"/>
        <v>1</v>
      </c>
      <c r="M145" s="23">
        <v>202</v>
      </c>
      <c r="N145" s="23">
        <v>57</v>
      </c>
    </row>
    <row r="146" spans="1:14" x14ac:dyDescent="0.4">
      <c r="A146" s="24" t="s">
        <v>48</v>
      </c>
      <c r="B146" s="22">
        <f t="shared" si="26"/>
        <v>1</v>
      </c>
      <c r="C146" s="22" t="s">
        <v>84</v>
      </c>
      <c r="D146" s="22">
        <f t="shared" si="27"/>
        <v>1</v>
      </c>
      <c r="E146" s="22">
        <f t="shared" si="28"/>
        <v>0</v>
      </c>
      <c r="F146" s="22">
        <f t="shared" si="29"/>
        <v>0</v>
      </c>
      <c r="G146" s="22">
        <f t="shared" si="29"/>
        <v>0</v>
      </c>
      <c r="H146" s="24">
        <v>0.67500000000000004</v>
      </c>
      <c r="I146" s="24">
        <v>0.14699999999999999</v>
      </c>
      <c r="J146" s="23">
        <v>90</v>
      </c>
      <c r="K146" s="23">
        <v>8</v>
      </c>
      <c r="L146" s="22">
        <f t="shared" si="30"/>
        <v>0</v>
      </c>
      <c r="M146" s="23">
        <v>130</v>
      </c>
      <c r="N146" s="23">
        <v>25</v>
      </c>
    </row>
    <row r="147" spans="1:14" x14ac:dyDescent="0.4">
      <c r="A147" s="24" t="s">
        <v>48</v>
      </c>
      <c r="B147" s="22">
        <f t="shared" si="26"/>
        <v>1</v>
      </c>
      <c r="C147" s="22" t="s">
        <v>84</v>
      </c>
      <c r="D147" s="22">
        <f t="shared" si="27"/>
        <v>1</v>
      </c>
      <c r="E147" s="22">
        <f t="shared" si="28"/>
        <v>0</v>
      </c>
      <c r="F147" s="22">
        <f t="shared" si="29"/>
        <v>0</v>
      </c>
      <c r="G147" s="22">
        <f t="shared" si="29"/>
        <v>0</v>
      </c>
      <c r="H147" s="24">
        <v>0.84</v>
      </c>
      <c r="I147" s="24">
        <v>0.16</v>
      </c>
      <c r="J147" s="23">
        <v>117</v>
      </c>
      <c r="K147" s="23">
        <v>13</v>
      </c>
      <c r="L147" s="22">
        <f t="shared" si="30"/>
        <v>0</v>
      </c>
      <c r="M147" s="23">
        <v>188</v>
      </c>
      <c r="N147" s="23">
        <v>65</v>
      </c>
    </row>
    <row r="148" spans="1:14" x14ac:dyDescent="0.4">
      <c r="A148" s="24" t="s">
        <v>48</v>
      </c>
      <c r="B148" s="22">
        <f t="shared" si="26"/>
        <v>1</v>
      </c>
      <c r="C148" s="22" t="s">
        <v>61</v>
      </c>
      <c r="D148" s="22">
        <f t="shared" si="27"/>
        <v>0</v>
      </c>
      <c r="E148" s="22">
        <f t="shared" si="28"/>
        <v>0</v>
      </c>
      <c r="F148" s="22">
        <f t="shared" si="29"/>
        <v>0</v>
      </c>
      <c r="G148" s="22">
        <f t="shared" si="29"/>
        <v>0</v>
      </c>
      <c r="H148" s="24">
        <v>0.34100000000000003</v>
      </c>
      <c r="I148" s="24">
        <v>8.0199999999999998E-5</v>
      </c>
      <c r="J148" s="23">
        <v>121</v>
      </c>
      <c r="K148" s="23">
        <v>35</v>
      </c>
      <c r="L148" s="22">
        <f t="shared" si="30"/>
        <v>0</v>
      </c>
      <c r="M148" s="23">
        <v>182</v>
      </c>
      <c r="N148" s="23">
        <v>62</v>
      </c>
    </row>
    <row r="149" spans="1:14" x14ac:dyDescent="0.4">
      <c r="A149" s="24" t="s">
        <v>48</v>
      </c>
      <c r="B149" s="22">
        <f t="shared" si="26"/>
        <v>1</v>
      </c>
      <c r="C149" s="22" t="s">
        <v>84</v>
      </c>
      <c r="D149" s="22">
        <f t="shared" si="27"/>
        <v>1</v>
      </c>
      <c r="E149" s="22">
        <f t="shared" si="28"/>
        <v>0</v>
      </c>
      <c r="F149" s="22">
        <f t="shared" si="29"/>
        <v>0</v>
      </c>
      <c r="G149" s="22">
        <f t="shared" si="29"/>
        <v>0</v>
      </c>
      <c r="H149" s="24">
        <v>0.80500000000000005</v>
      </c>
      <c r="I149" s="24">
        <v>3.2500000000000001E-2</v>
      </c>
      <c r="J149" s="23">
        <v>95</v>
      </c>
      <c r="K149" s="23">
        <v>28</v>
      </c>
      <c r="L149" s="22">
        <f t="shared" si="30"/>
        <v>0</v>
      </c>
      <c r="M149" s="23">
        <v>334</v>
      </c>
      <c r="N149" s="23">
        <v>24</v>
      </c>
    </row>
    <row r="150" spans="1:14" x14ac:dyDescent="0.4">
      <c r="A150" s="24" t="s">
        <v>67</v>
      </c>
      <c r="B150" s="22">
        <f t="shared" si="26"/>
        <v>0</v>
      </c>
      <c r="C150" s="22" t="s">
        <v>66</v>
      </c>
      <c r="D150" s="22">
        <f t="shared" si="27"/>
        <v>0</v>
      </c>
      <c r="E150" s="22">
        <f t="shared" si="28"/>
        <v>0</v>
      </c>
      <c r="F150" s="22">
        <f t="shared" si="29"/>
        <v>1</v>
      </c>
      <c r="G150" s="22">
        <f t="shared" si="29"/>
        <v>0</v>
      </c>
      <c r="H150" s="24">
        <v>0.82199999999999995</v>
      </c>
      <c r="I150" s="24">
        <v>6.1499999999999999E-2</v>
      </c>
      <c r="J150" s="23">
        <v>103</v>
      </c>
      <c r="K150" s="23">
        <v>13</v>
      </c>
      <c r="L150" s="22">
        <f t="shared" si="30"/>
        <v>0</v>
      </c>
      <c r="M150" s="23">
        <v>241</v>
      </c>
      <c r="N150" s="23">
        <v>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AC12-7164-49F9-A750-1CED29598FBF}">
  <dimension ref="A1:I235"/>
  <sheetViews>
    <sheetView showGridLines="0" tabSelected="1" topLeftCell="A195" zoomScale="41" zoomScaleNormal="70" workbookViewId="0">
      <selection activeCell="C210" sqref="C210"/>
    </sheetView>
  </sheetViews>
  <sheetFormatPr defaultColWidth="10.6640625" defaultRowHeight="16" x14ac:dyDescent="0.4"/>
  <cols>
    <col min="1" max="1" width="15.75" customWidth="1"/>
    <col min="2" max="2" width="14.5" customWidth="1"/>
    <col min="3" max="3" width="18.08203125" customWidth="1"/>
    <col min="4" max="4" width="16" customWidth="1"/>
    <col min="5" max="5" width="14.83203125" customWidth="1"/>
    <col min="6" max="6" width="17.33203125" customWidth="1"/>
    <col min="7" max="7" width="19.1640625" customWidth="1"/>
    <col min="8" max="8" width="18.33203125" customWidth="1"/>
    <col min="9" max="9" width="19.1640625" customWidth="1"/>
  </cols>
  <sheetData>
    <row r="1" spans="1:9" x14ac:dyDescent="0.4">
      <c r="A1" t="s">
        <v>1950</v>
      </c>
    </row>
    <row r="2" spans="1:9" ht="16.5" thickBot="1" x14ac:dyDescent="0.45"/>
    <row r="3" spans="1:9" x14ac:dyDescent="0.4">
      <c r="A3" s="19" t="s">
        <v>1928</v>
      </c>
      <c r="B3" s="19"/>
    </row>
    <row r="4" spans="1:9" x14ac:dyDescent="0.4">
      <c r="A4" t="s">
        <v>1929</v>
      </c>
      <c r="B4">
        <v>0.45108698923411705</v>
      </c>
    </row>
    <row r="5" spans="1:9" x14ac:dyDescent="0.4">
      <c r="A5" t="s">
        <v>1930</v>
      </c>
      <c r="B5">
        <v>0.20347947185630044</v>
      </c>
    </row>
    <row r="6" spans="1:9" x14ac:dyDescent="0.4">
      <c r="A6" t="s">
        <v>1931</v>
      </c>
      <c r="B6" s="21">
        <v>0.13952526886666033</v>
      </c>
    </row>
    <row r="7" spans="1:9" x14ac:dyDescent="0.4">
      <c r="A7" t="s">
        <v>1890</v>
      </c>
      <c r="B7">
        <v>19.176060419407001</v>
      </c>
    </row>
    <row r="8" spans="1:9" ht="16.5" thickBot="1" x14ac:dyDescent="0.45">
      <c r="A8" s="11" t="s">
        <v>1932</v>
      </c>
      <c r="B8" s="11">
        <v>149</v>
      </c>
    </row>
    <row r="10" spans="1:9" ht="16.5" thickBot="1" x14ac:dyDescent="0.45">
      <c r="A10" t="s">
        <v>1915</v>
      </c>
    </row>
    <row r="11" spans="1:9" x14ac:dyDescent="0.4">
      <c r="A11" s="19"/>
      <c r="B11" s="19" t="s">
        <v>1918</v>
      </c>
      <c r="C11" s="19" t="s">
        <v>1917</v>
      </c>
      <c r="D11" s="19" t="s">
        <v>1919</v>
      </c>
      <c r="E11" s="19" t="s">
        <v>1920</v>
      </c>
      <c r="F11" s="19" t="s">
        <v>1936</v>
      </c>
    </row>
    <row r="12" spans="1:9" x14ac:dyDescent="0.4">
      <c r="A12" t="s">
        <v>1933</v>
      </c>
      <c r="B12">
        <v>11</v>
      </c>
      <c r="C12">
        <v>12869.538535099513</v>
      </c>
      <c r="D12">
        <v>1169.9580486454104</v>
      </c>
      <c r="E12">
        <v>3.1816434627331986</v>
      </c>
      <c r="F12">
        <v>7.1775767678943696E-4</v>
      </c>
    </row>
    <row r="13" spans="1:9" x14ac:dyDescent="0.4">
      <c r="A13" t="s">
        <v>1934</v>
      </c>
      <c r="B13">
        <v>137</v>
      </c>
      <c r="C13">
        <v>50377.817169598457</v>
      </c>
      <c r="D13">
        <v>367.72129320874785</v>
      </c>
    </row>
    <row r="14" spans="1:9" ht="16.5" thickBot="1" x14ac:dyDescent="0.45">
      <c r="A14" s="11" t="s">
        <v>1925</v>
      </c>
      <c r="B14" s="11">
        <v>148</v>
      </c>
      <c r="C14" s="11">
        <v>63247.355704697969</v>
      </c>
      <c r="D14" s="11"/>
      <c r="E14" s="11"/>
      <c r="F14" s="11"/>
    </row>
    <row r="15" spans="1:9" ht="16.5" thickBot="1" x14ac:dyDescent="0.45"/>
    <row r="16" spans="1:9" x14ac:dyDescent="0.4">
      <c r="A16" s="19"/>
      <c r="B16" s="19" t="s">
        <v>1937</v>
      </c>
      <c r="C16" s="19" t="s">
        <v>1890</v>
      </c>
      <c r="D16" s="19" t="s">
        <v>1938</v>
      </c>
      <c r="E16" s="19" t="s">
        <v>1921</v>
      </c>
      <c r="F16" s="19" t="s">
        <v>1939</v>
      </c>
      <c r="G16" s="19" t="s">
        <v>1940</v>
      </c>
      <c r="H16" s="19" t="s">
        <v>1941</v>
      </c>
      <c r="I16" s="19" t="s">
        <v>1942</v>
      </c>
    </row>
    <row r="17" spans="1:9" x14ac:dyDescent="0.4">
      <c r="A17" t="s">
        <v>1935</v>
      </c>
      <c r="B17">
        <v>46.919323901164006</v>
      </c>
      <c r="C17">
        <v>15.912369806217663</v>
      </c>
      <c r="D17">
        <v>2.9486069311203766</v>
      </c>
      <c r="E17">
        <v>3.7542804022573238E-3</v>
      </c>
      <c r="F17">
        <v>15.453707184559015</v>
      </c>
      <c r="G17">
        <v>78.38494061776899</v>
      </c>
      <c r="H17">
        <v>15.453707184559015</v>
      </c>
      <c r="I17">
        <v>78.38494061776899</v>
      </c>
    </row>
    <row r="18" spans="1:9" x14ac:dyDescent="0.4">
      <c r="A18" t="s">
        <v>48</v>
      </c>
      <c r="B18">
        <v>4.2168502780019423</v>
      </c>
      <c r="C18">
        <v>4.6778134302270722</v>
      </c>
      <c r="D18">
        <v>0.90145755937026462</v>
      </c>
      <c r="E18" s="21">
        <v>0.36892712873695133</v>
      </c>
      <c r="F18">
        <v>-5.0332040042834389</v>
      </c>
      <c r="G18">
        <v>13.466904560287324</v>
      </c>
      <c r="H18">
        <v>-5.0332040042834389</v>
      </c>
      <c r="I18">
        <v>13.466904560287324</v>
      </c>
    </row>
    <row r="19" spans="1:9" x14ac:dyDescent="0.4">
      <c r="A19" t="s">
        <v>1927</v>
      </c>
      <c r="B19">
        <v>-0.4034888453141145</v>
      </c>
      <c r="C19">
        <v>6.6665936387843789</v>
      </c>
      <c r="D19">
        <v>-6.0523989787937445E-2</v>
      </c>
      <c r="E19" s="21">
        <v>0.95182651181150169</v>
      </c>
      <c r="F19">
        <v>-13.586219186421475</v>
      </c>
      <c r="G19">
        <v>12.779241495793245</v>
      </c>
      <c r="H19">
        <v>-13.586219186421475</v>
      </c>
      <c r="I19">
        <v>12.779241495793245</v>
      </c>
    </row>
    <row r="20" spans="1:9" x14ac:dyDescent="0.4">
      <c r="A20" t="s">
        <v>1926</v>
      </c>
      <c r="B20">
        <v>7.0322880616462653</v>
      </c>
      <c r="C20">
        <v>7.0641691268429243</v>
      </c>
      <c r="D20">
        <v>0.99548693347735473</v>
      </c>
      <c r="E20" s="21">
        <v>0.32125451428963425</v>
      </c>
      <c r="F20">
        <v>-6.9366204587967184</v>
      </c>
      <c r="G20">
        <v>21.00119658208925</v>
      </c>
      <c r="H20">
        <v>-6.9366204587967184</v>
      </c>
      <c r="I20">
        <v>21.00119658208925</v>
      </c>
    </row>
    <row r="21" spans="1:9" x14ac:dyDescent="0.4">
      <c r="A21" t="s">
        <v>1904</v>
      </c>
      <c r="B21">
        <v>19.675486273200711</v>
      </c>
      <c r="C21">
        <v>6.5292676568885897</v>
      </c>
      <c r="D21">
        <v>3.0134292706537207</v>
      </c>
      <c r="E21">
        <v>3.0780468139788067E-3</v>
      </c>
      <c r="F21">
        <v>6.7643086149549525</v>
      </c>
      <c r="G21">
        <v>32.586663931446466</v>
      </c>
      <c r="H21">
        <v>6.7643086149549525</v>
      </c>
      <c r="I21">
        <v>32.586663931446466</v>
      </c>
    </row>
    <row r="22" spans="1:9" x14ac:dyDescent="0.4">
      <c r="A22" t="s">
        <v>1907</v>
      </c>
      <c r="B22">
        <v>1.1312172498406865</v>
      </c>
      <c r="C22">
        <v>6.3301301403592385</v>
      </c>
      <c r="D22">
        <v>0.17870363243061055</v>
      </c>
      <c r="E22" s="21">
        <v>0.85843441541045851</v>
      </c>
      <c r="F22">
        <v>-11.3861796676784</v>
      </c>
      <c r="G22">
        <v>13.648614167359773</v>
      </c>
      <c r="H22">
        <v>-11.3861796676784</v>
      </c>
      <c r="I22">
        <v>13.648614167359773</v>
      </c>
    </row>
    <row r="23" spans="1:9" x14ac:dyDescent="0.4">
      <c r="A23" t="s">
        <v>1908</v>
      </c>
      <c r="B23">
        <v>-0.18658540653631495</v>
      </c>
      <c r="C23">
        <v>6.8419806952455602</v>
      </c>
      <c r="D23">
        <v>-2.7270671293470869E-2</v>
      </c>
      <c r="E23" s="27">
        <v>0.97828353317565031</v>
      </c>
      <c r="F23">
        <v>-13.716131587324872</v>
      </c>
      <c r="G23">
        <v>13.342960774252242</v>
      </c>
      <c r="H23">
        <v>-13.716131587324872</v>
      </c>
      <c r="I23">
        <v>13.342960774252242</v>
      </c>
    </row>
    <row r="24" spans="1:9" x14ac:dyDescent="0.4">
      <c r="A24" t="s">
        <v>22</v>
      </c>
      <c r="B24">
        <v>0.17709001662884288</v>
      </c>
      <c r="C24">
        <v>0.16308464047196425</v>
      </c>
      <c r="D24">
        <v>1.0858779595451007</v>
      </c>
      <c r="E24" s="21">
        <v>0.27943997013396987</v>
      </c>
      <c r="F24">
        <v>-0.14539864168847622</v>
      </c>
      <c r="G24">
        <v>0.49957867494616198</v>
      </c>
      <c r="H24">
        <v>-0.14539864168847622</v>
      </c>
      <c r="I24">
        <v>0.49957867494616198</v>
      </c>
    </row>
    <row r="25" spans="1:9" x14ac:dyDescent="0.4">
      <c r="A25" t="s">
        <v>27</v>
      </c>
      <c r="B25">
        <v>1.2068063459159473</v>
      </c>
      <c r="C25">
        <v>12.293431648301157</v>
      </c>
      <c r="D25">
        <v>9.8166759326531683E-2</v>
      </c>
      <c r="E25" s="21">
        <v>0.92194335798580052</v>
      </c>
      <c r="F25">
        <v>-23.102609101811893</v>
      </c>
      <c r="G25">
        <v>25.516221793643787</v>
      </c>
      <c r="H25">
        <v>-23.102609101811893</v>
      </c>
      <c r="I25">
        <v>25.516221793643787</v>
      </c>
    </row>
    <row r="26" spans="1:9" x14ac:dyDescent="0.4">
      <c r="A26" t="s">
        <v>32</v>
      </c>
      <c r="B26">
        <v>1.4046287055390048</v>
      </c>
      <c r="C26">
        <v>9.2349097025554538</v>
      </c>
      <c r="D26">
        <v>0.15209988519436421</v>
      </c>
      <c r="E26" s="21">
        <v>0.87933191919115794</v>
      </c>
      <c r="F26">
        <v>-16.856769983141753</v>
      </c>
      <c r="G26">
        <v>19.666027394219761</v>
      </c>
      <c r="H26">
        <v>-16.856769983141753</v>
      </c>
      <c r="I26">
        <v>19.666027394219761</v>
      </c>
    </row>
    <row r="27" spans="1:9" x14ac:dyDescent="0.4">
      <c r="A27" t="s">
        <v>40</v>
      </c>
      <c r="B27">
        <v>2.221088725344951E-2</v>
      </c>
      <c r="C27">
        <v>6.382178403681113E-2</v>
      </c>
      <c r="D27">
        <v>0.34801420218273299</v>
      </c>
      <c r="E27" s="21">
        <v>0.72836367212441588</v>
      </c>
      <c r="F27">
        <v>-0.10399230052613244</v>
      </c>
      <c r="G27">
        <v>0.14841407503303145</v>
      </c>
      <c r="H27">
        <v>-0.10399230052613244</v>
      </c>
      <c r="I27">
        <v>0.14841407503303145</v>
      </c>
    </row>
    <row r="28" spans="1:9" ht="16.5" thickBot="1" x14ac:dyDescent="0.45">
      <c r="A28" s="11" t="s">
        <v>42</v>
      </c>
      <c r="B28" s="11">
        <v>-7.8908810477038349E-2</v>
      </c>
      <c r="C28" s="11">
        <v>2.9559845152611352E-2</v>
      </c>
      <c r="D28" s="11">
        <v>-2.6694595343665881</v>
      </c>
      <c r="E28" s="11">
        <v>8.5157351534724448E-3</v>
      </c>
      <c r="F28" s="11">
        <v>-0.13736137091280853</v>
      </c>
      <c r="G28" s="11">
        <v>-2.0456250041268158E-2</v>
      </c>
      <c r="H28" s="11">
        <v>-0.13736137091280853</v>
      </c>
      <c r="I28" s="11">
        <v>-2.0456250041268158E-2</v>
      </c>
    </row>
    <row r="32" spans="1:9" x14ac:dyDescent="0.4">
      <c r="A32" t="s">
        <v>1949</v>
      </c>
    </row>
    <row r="33" spans="1:9" ht="16.5" thickBot="1" x14ac:dyDescent="0.45"/>
    <row r="34" spans="1:9" x14ac:dyDescent="0.4">
      <c r="A34" s="19" t="s">
        <v>1928</v>
      </c>
      <c r="B34" s="19"/>
    </row>
    <row r="35" spans="1:9" x14ac:dyDescent="0.4">
      <c r="A35" t="s">
        <v>1929</v>
      </c>
      <c r="B35">
        <v>0.45108219653600728</v>
      </c>
    </row>
    <row r="36" spans="1:9" x14ac:dyDescent="0.4">
      <c r="A36" t="s">
        <v>1930</v>
      </c>
      <c r="B36">
        <v>0.20347514803174913</v>
      </c>
    </row>
    <row r="37" spans="1:9" x14ac:dyDescent="0.4">
      <c r="A37" t="s">
        <v>1931</v>
      </c>
      <c r="B37">
        <v>0.14575595586013673</v>
      </c>
    </row>
    <row r="38" spans="1:9" x14ac:dyDescent="0.4">
      <c r="A38" t="s">
        <v>1890</v>
      </c>
      <c r="B38">
        <v>19.10650747328194</v>
      </c>
    </row>
    <row r="39" spans="1:9" ht="16.5" thickBot="1" x14ac:dyDescent="0.45">
      <c r="A39" s="11" t="s">
        <v>1932</v>
      </c>
      <c r="B39" s="11">
        <v>149</v>
      </c>
    </row>
    <row r="41" spans="1:9" ht="16.5" thickBot="1" x14ac:dyDescent="0.45">
      <c r="A41" t="s">
        <v>1915</v>
      </c>
    </row>
    <row r="42" spans="1:9" x14ac:dyDescent="0.4">
      <c r="A42" s="19"/>
      <c r="B42" s="19" t="s">
        <v>1918</v>
      </c>
      <c r="C42" s="19" t="s">
        <v>1917</v>
      </c>
      <c r="D42" s="19" t="s">
        <v>1919</v>
      </c>
      <c r="E42" s="19" t="s">
        <v>1920</v>
      </c>
      <c r="F42" s="19" t="s">
        <v>1936</v>
      </c>
    </row>
    <row r="43" spans="1:9" x14ac:dyDescent="0.4">
      <c r="A43" t="s">
        <v>1933</v>
      </c>
      <c r="B43">
        <v>10</v>
      </c>
      <c r="C43">
        <v>12869.265064630112</v>
      </c>
      <c r="D43">
        <v>1286.9265064630113</v>
      </c>
      <c r="E43">
        <v>3.5252598031304889</v>
      </c>
      <c r="F43">
        <v>3.594732229493168E-4</v>
      </c>
    </row>
    <row r="44" spans="1:9" x14ac:dyDescent="0.4">
      <c r="A44" t="s">
        <v>1934</v>
      </c>
      <c r="B44">
        <v>138</v>
      </c>
      <c r="C44">
        <v>50378.090640067858</v>
      </c>
      <c r="D44">
        <v>365.05862782657869</v>
      </c>
    </row>
    <row r="45" spans="1:9" ht="16.5" thickBot="1" x14ac:dyDescent="0.45">
      <c r="A45" s="11" t="s">
        <v>1925</v>
      </c>
      <c r="B45" s="11">
        <v>148</v>
      </c>
      <c r="C45" s="11">
        <v>63247.355704697969</v>
      </c>
      <c r="D45" s="11"/>
      <c r="E45" s="11"/>
      <c r="F45" s="11"/>
    </row>
    <row r="46" spans="1:9" ht="16.5" thickBot="1" x14ac:dyDescent="0.45"/>
    <row r="47" spans="1:9" x14ac:dyDescent="0.4">
      <c r="A47" s="19"/>
      <c r="B47" s="19" t="s">
        <v>1937</v>
      </c>
      <c r="C47" s="19" t="s">
        <v>1890</v>
      </c>
      <c r="D47" s="19" t="s">
        <v>1938</v>
      </c>
      <c r="E47" s="19" t="s">
        <v>1921</v>
      </c>
      <c r="F47" s="19" t="s">
        <v>1939</v>
      </c>
      <c r="G47" s="19" t="s">
        <v>1940</v>
      </c>
      <c r="H47" s="19" t="s">
        <v>1941</v>
      </c>
      <c r="I47" s="19" t="s">
        <v>1942</v>
      </c>
    </row>
    <row r="48" spans="1:9" x14ac:dyDescent="0.4">
      <c r="A48" t="s">
        <v>1935</v>
      </c>
      <c r="B48">
        <v>46.841114349199657</v>
      </c>
      <c r="C48">
        <v>15.595024086127815</v>
      </c>
      <c r="D48">
        <v>3.0035935879615643</v>
      </c>
      <c r="E48">
        <v>3.1690310752403947E-3</v>
      </c>
      <c r="F48">
        <v>16.005017985692543</v>
      </c>
      <c r="G48">
        <v>77.677210712706767</v>
      </c>
      <c r="H48">
        <v>16.005017985692543</v>
      </c>
      <c r="I48">
        <v>77.677210712706767</v>
      </c>
    </row>
    <row r="49" spans="1:9" x14ac:dyDescent="0.4">
      <c r="A49" t="s">
        <v>48</v>
      </c>
      <c r="B49">
        <v>4.196621621115713</v>
      </c>
      <c r="C49">
        <v>4.6018744165466856</v>
      </c>
      <c r="D49">
        <v>0.91193745010210858</v>
      </c>
      <c r="E49">
        <v>0.36339194982017808</v>
      </c>
      <c r="F49">
        <v>-4.9026809626884953</v>
      </c>
      <c r="G49">
        <v>13.29592420491992</v>
      </c>
      <c r="H49">
        <v>-4.9026809626884953</v>
      </c>
      <c r="I49">
        <v>13.29592420491992</v>
      </c>
    </row>
    <row r="50" spans="1:9" x14ac:dyDescent="0.4">
      <c r="A50" t="s">
        <v>1927</v>
      </c>
      <c r="B50">
        <v>-0.287646618767739</v>
      </c>
      <c r="C50">
        <v>5.119367949567585</v>
      </c>
      <c r="D50">
        <v>-5.6187916477469742E-2</v>
      </c>
      <c r="E50" s="27">
        <v>0.95527337704123549</v>
      </c>
      <c r="F50">
        <v>-10.410190998390577</v>
      </c>
      <c r="G50">
        <v>9.8348977608550978</v>
      </c>
      <c r="H50">
        <v>-10.410190998390577</v>
      </c>
      <c r="I50">
        <v>9.8348977608550978</v>
      </c>
    </row>
    <row r="51" spans="1:9" x14ac:dyDescent="0.4">
      <c r="A51" t="s">
        <v>1926</v>
      </c>
      <c r="B51">
        <v>7.1450727848454418</v>
      </c>
      <c r="C51">
        <v>5.7061855638817729</v>
      </c>
      <c r="D51">
        <v>1.2521627109485081</v>
      </c>
      <c r="E51">
        <v>0.21262860427701444</v>
      </c>
      <c r="F51">
        <v>-4.137788142085058</v>
      </c>
      <c r="G51">
        <v>18.427933711775943</v>
      </c>
      <c r="H51">
        <v>-4.137788142085058</v>
      </c>
      <c r="I51">
        <v>18.427933711775943</v>
      </c>
    </row>
    <row r="52" spans="1:9" x14ac:dyDescent="0.4">
      <c r="A52" t="s">
        <v>1904</v>
      </c>
      <c r="B52">
        <v>19.787483028989225</v>
      </c>
      <c r="C52">
        <v>5.0575186288451563</v>
      </c>
      <c r="D52">
        <v>3.9124884120313239</v>
      </c>
      <c r="E52">
        <v>1.428246601275931E-4</v>
      </c>
      <c r="F52">
        <v>9.787233530302851</v>
      </c>
      <c r="G52">
        <v>29.787732527675601</v>
      </c>
      <c r="H52">
        <v>9.787233530302851</v>
      </c>
      <c r="I52">
        <v>29.787732527675601</v>
      </c>
    </row>
    <row r="53" spans="1:9" x14ac:dyDescent="0.4">
      <c r="A53" t="s">
        <v>1907</v>
      </c>
      <c r="B53">
        <v>1.2285180490388328</v>
      </c>
      <c r="C53">
        <v>5.2098180277910329</v>
      </c>
      <c r="D53">
        <v>0.23580824560195349</v>
      </c>
      <c r="E53">
        <v>0.81393107127599174</v>
      </c>
      <c r="F53">
        <v>-9.0728735906319056</v>
      </c>
      <c r="G53">
        <v>11.529909688709571</v>
      </c>
      <c r="H53">
        <v>-9.0728735906319056</v>
      </c>
      <c r="I53">
        <v>11.529909688709571</v>
      </c>
    </row>
    <row r="54" spans="1:9" x14ac:dyDescent="0.4">
      <c r="A54" t="s">
        <v>22</v>
      </c>
      <c r="B54">
        <v>0.17893394781047398</v>
      </c>
      <c r="C54">
        <v>0.14786888968586567</v>
      </c>
      <c r="D54">
        <v>1.2100851517219291</v>
      </c>
      <c r="E54">
        <v>0.22831490065376858</v>
      </c>
      <c r="F54">
        <v>-0.11344773152108475</v>
      </c>
      <c r="G54">
        <v>0.47131562714203268</v>
      </c>
      <c r="H54">
        <v>-0.11344773152108475</v>
      </c>
      <c r="I54">
        <v>0.47131562714203268</v>
      </c>
    </row>
    <row r="55" spans="1:9" x14ac:dyDescent="0.4">
      <c r="A55" t="s">
        <v>27</v>
      </c>
      <c r="B55">
        <v>1.0814017869068084</v>
      </c>
      <c r="C55">
        <v>11.359618534428279</v>
      </c>
      <c r="D55">
        <v>9.5197015958708386E-2</v>
      </c>
      <c r="E55">
        <v>0.92429643419092877</v>
      </c>
      <c r="F55">
        <v>-21.380012177301221</v>
      </c>
      <c r="G55">
        <v>23.542815751114841</v>
      </c>
      <c r="H55">
        <v>-21.380012177301221</v>
      </c>
      <c r="I55">
        <v>23.542815751114841</v>
      </c>
    </row>
    <row r="56" spans="1:9" x14ac:dyDescent="0.4">
      <c r="A56" t="s">
        <v>32</v>
      </c>
      <c r="B56">
        <v>1.4125290302051232</v>
      </c>
      <c r="C56">
        <v>9.1968854185747375</v>
      </c>
      <c r="D56">
        <v>0.1535877599771191</v>
      </c>
      <c r="E56">
        <v>0.87815915470589612</v>
      </c>
      <c r="F56">
        <v>-16.772505083565193</v>
      </c>
      <c r="G56">
        <v>19.597563143975442</v>
      </c>
      <c r="H56">
        <v>-16.772505083565193</v>
      </c>
      <c r="I56">
        <v>19.597563143975442</v>
      </c>
    </row>
    <row r="57" spans="1:9" x14ac:dyDescent="0.4">
      <c r="A57" t="s">
        <v>40</v>
      </c>
      <c r="B57">
        <v>2.2587482746098883E-2</v>
      </c>
      <c r="C57">
        <v>6.2083841695053529E-2</v>
      </c>
      <c r="D57">
        <v>0.36382224632691373</v>
      </c>
      <c r="E57">
        <v>0.71654754182349079</v>
      </c>
      <c r="F57">
        <v>-0.10017111734021465</v>
      </c>
      <c r="G57">
        <v>0.1453460828324124</v>
      </c>
      <c r="H57">
        <v>-0.10017111734021465</v>
      </c>
      <c r="I57">
        <v>0.1453460828324124</v>
      </c>
    </row>
    <row r="58" spans="1:9" ht="16.5" thickBot="1" x14ac:dyDescent="0.45">
      <c r="A58" s="11" t="s">
        <v>42</v>
      </c>
      <c r="B58" s="11">
        <v>-7.886493606019046E-2</v>
      </c>
      <c r="C58" s="11">
        <v>2.9408973588421029E-2</v>
      </c>
      <c r="D58" s="11">
        <v>-2.6816623104194752</v>
      </c>
      <c r="E58" s="11">
        <v>8.2197524604687711E-3</v>
      </c>
      <c r="F58" s="11">
        <v>-0.13701540370397311</v>
      </c>
      <c r="G58" s="11">
        <v>-2.0714468416407818E-2</v>
      </c>
      <c r="H58" s="11">
        <v>-0.13701540370397311</v>
      </c>
      <c r="I58" s="11">
        <v>-2.0714468416407818E-2</v>
      </c>
    </row>
    <row r="62" spans="1:9" x14ac:dyDescent="0.4">
      <c r="A62" t="s">
        <v>1948</v>
      </c>
    </row>
    <row r="63" spans="1:9" ht="16.5" thickBot="1" x14ac:dyDescent="0.45"/>
    <row r="64" spans="1:9" x14ac:dyDescent="0.4">
      <c r="A64" s="19" t="s">
        <v>1928</v>
      </c>
      <c r="B64" s="19"/>
    </row>
    <row r="65" spans="1:9" x14ac:dyDescent="0.4">
      <c r="A65" t="s">
        <v>1929</v>
      </c>
      <c r="B65">
        <v>0.45106199752331688</v>
      </c>
    </row>
    <row r="66" spans="1:9" x14ac:dyDescent="0.4">
      <c r="A66" t="s">
        <v>1930</v>
      </c>
      <c r="B66">
        <v>0.20345692560972473</v>
      </c>
    </row>
    <row r="67" spans="1:9" x14ac:dyDescent="0.4">
      <c r="A67" t="s">
        <v>1931</v>
      </c>
      <c r="B67">
        <v>0.15188219417438317</v>
      </c>
    </row>
    <row r="68" spans="1:9" x14ac:dyDescent="0.4">
      <c r="A68" t="s">
        <v>1890</v>
      </c>
      <c r="B68">
        <v>19.037872734996522</v>
      </c>
    </row>
    <row r="69" spans="1:9" ht="16.5" thickBot="1" x14ac:dyDescent="0.45">
      <c r="A69" s="11" t="s">
        <v>1932</v>
      </c>
      <c r="B69" s="11">
        <v>149</v>
      </c>
    </row>
    <row r="71" spans="1:9" ht="16.5" thickBot="1" x14ac:dyDescent="0.45">
      <c r="A71" t="s">
        <v>1915</v>
      </c>
    </row>
    <row r="72" spans="1:9" x14ac:dyDescent="0.4">
      <c r="A72" s="19"/>
      <c r="B72" s="19" t="s">
        <v>1918</v>
      </c>
      <c r="C72" s="19" t="s">
        <v>1917</v>
      </c>
      <c r="D72" s="19" t="s">
        <v>1919</v>
      </c>
      <c r="E72" s="19" t="s">
        <v>1920</v>
      </c>
      <c r="F72" s="19" t="s">
        <v>1936</v>
      </c>
    </row>
    <row r="73" spans="1:9" x14ac:dyDescent="0.4">
      <c r="A73" t="s">
        <v>1933</v>
      </c>
      <c r="B73">
        <v>9</v>
      </c>
      <c r="C73">
        <v>12868.112544622534</v>
      </c>
      <c r="D73">
        <v>1429.7902827358371</v>
      </c>
      <c r="E73">
        <v>3.9448954933443621</v>
      </c>
      <c r="F73">
        <v>1.7013064801781565E-4</v>
      </c>
    </row>
    <row r="74" spans="1:9" x14ac:dyDescent="0.4">
      <c r="A74" t="s">
        <v>1934</v>
      </c>
      <c r="B74">
        <v>139</v>
      </c>
      <c r="C74">
        <v>50379.243160075435</v>
      </c>
      <c r="D74">
        <v>362.44059827392397</v>
      </c>
    </row>
    <row r="75" spans="1:9" ht="16.5" thickBot="1" x14ac:dyDescent="0.45">
      <c r="A75" s="11" t="s">
        <v>1925</v>
      </c>
      <c r="B75" s="11">
        <v>148</v>
      </c>
      <c r="C75" s="11">
        <v>63247.355704697969</v>
      </c>
      <c r="D75" s="11"/>
      <c r="E75" s="11"/>
      <c r="F75" s="11"/>
    </row>
    <row r="76" spans="1:9" ht="16.5" thickBot="1" x14ac:dyDescent="0.45"/>
    <row r="77" spans="1:9" x14ac:dyDescent="0.4">
      <c r="A77" s="19"/>
      <c r="B77" s="19" t="s">
        <v>1937</v>
      </c>
      <c r="C77" s="19" t="s">
        <v>1890</v>
      </c>
      <c r="D77" s="19" t="s">
        <v>1938</v>
      </c>
      <c r="E77" s="19" t="s">
        <v>1921</v>
      </c>
      <c r="F77" s="19" t="s">
        <v>1939</v>
      </c>
      <c r="G77" s="19" t="s">
        <v>1940</v>
      </c>
      <c r="H77" s="19" t="s">
        <v>1941</v>
      </c>
      <c r="I77" s="19" t="s">
        <v>1942</v>
      </c>
    </row>
    <row r="78" spans="1:9" x14ac:dyDescent="0.4">
      <c r="A78" t="s">
        <v>1935</v>
      </c>
      <c r="B78">
        <v>46.758654001453991</v>
      </c>
      <c r="C78">
        <v>15.470044471995346</v>
      </c>
      <c r="D78">
        <v>3.0225287384337429</v>
      </c>
      <c r="E78">
        <v>2.9853522176737208E-3</v>
      </c>
      <c r="F78">
        <v>16.171626674550001</v>
      </c>
      <c r="G78">
        <v>77.345681328357983</v>
      </c>
      <c r="H78">
        <v>16.171626674550001</v>
      </c>
      <c r="I78">
        <v>77.345681328357983</v>
      </c>
    </row>
    <row r="79" spans="1:9" x14ac:dyDescent="0.4">
      <c r="A79" t="s">
        <v>48</v>
      </c>
      <c r="B79">
        <v>4.1652190823922899</v>
      </c>
      <c r="C79">
        <v>4.5514023474159062</v>
      </c>
      <c r="D79">
        <v>0.91515070838708101</v>
      </c>
      <c r="E79">
        <v>0.36169737522817502</v>
      </c>
      <c r="F79">
        <v>-4.8337122541114441</v>
      </c>
      <c r="G79">
        <v>13.164150418896025</v>
      </c>
      <c r="H79">
        <v>-4.8337122541114441</v>
      </c>
      <c r="I79">
        <v>13.164150418896025</v>
      </c>
    </row>
    <row r="80" spans="1:9" x14ac:dyDescent="0.4">
      <c r="A80" t="s">
        <v>1926</v>
      </c>
      <c r="B80">
        <v>7.2744778091650151</v>
      </c>
      <c r="C80">
        <v>5.2020117224514628</v>
      </c>
      <c r="D80">
        <v>1.3983970427765389</v>
      </c>
      <c r="E80">
        <v>0.16422096136024553</v>
      </c>
      <c r="F80">
        <v>-3.0108238910035983</v>
      </c>
      <c r="G80">
        <v>17.55977950933363</v>
      </c>
      <c r="H80">
        <v>-3.0108238910035983</v>
      </c>
      <c r="I80">
        <v>17.55977950933363</v>
      </c>
    </row>
    <row r="81" spans="1:9" x14ac:dyDescent="0.4">
      <c r="A81" t="s">
        <v>1904</v>
      </c>
      <c r="B81">
        <v>19.924480483159524</v>
      </c>
      <c r="C81">
        <v>4.415072518836646</v>
      </c>
      <c r="D81">
        <v>4.5128319859193491</v>
      </c>
      <c r="E81">
        <v>1.3506162699306605E-5</v>
      </c>
      <c r="F81">
        <v>11.195097446906288</v>
      </c>
      <c r="G81">
        <v>28.653863519412759</v>
      </c>
      <c r="H81">
        <v>11.195097446906288</v>
      </c>
      <c r="I81">
        <v>28.653863519412759</v>
      </c>
    </row>
    <row r="82" spans="1:9" x14ac:dyDescent="0.4">
      <c r="A82" t="s">
        <v>1907</v>
      </c>
      <c r="B82">
        <v>1.3361227295123472</v>
      </c>
      <c r="C82">
        <v>4.8276600020062208</v>
      </c>
      <c r="D82">
        <v>0.27676404903350638</v>
      </c>
      <c r="E82">
        <v>0.78237241696544546</v>
      </c>
      <c r="F82">
        <v>-8.2090190878673024</v>
      </c>
      <c r="G82">
        <v>10.881264546891996</v>
      </c>
      <c r="H82">
        <v>-8.2090190878673024</v>
      </c>
      <c r="I82">
        <v>10.881264546891996</v>
      </c>
    </row>
    <row r="83" spans="1:9" x14ac:dyDescent="0.4">
      <c r="A83" t="s">
        <v>22</v>
      </c>
      <c r="B83">
        <v>0.18274323903740333</v>
      </c>
      <c r="C83">
        <v>0.13093939703468169</v>
      </c>
      <c r="D83">
        <v>1.3956322021935113</v>
      </c>
      <c r="E83">
        <v>0.16505072375743277</v>
      </c>
      <c r="F83">
        <v>-7.6147220037764668E-2</v>
      </c>
      <c r="G83">
        <v>0.44163369811257136</v>
      </c>
      <c r="H83">
        <v>-7.6147220037764668E-2</v>
      </c>
      <c r="I83">
        <v>0.44163369811257136</v>
      </c>
    </row>
    <row r="84" spans="1:9" x14ac:dyDescent="0.4">
      <c r="A84" t="s">
        <v>27</v>
      </c>
      <c r="B84">
        <v>1.0412188081891331</v>
      </c>
      <c r="C84">
        <v>11.296359394404281</v>
      </c>
      <c r="D84">
        <v>9.217295341230973E-2</v>
      </c>
      <c r="E84" s="27">
        <v>0.92669333596141168</v>
      </c>
      <c r="F84">
        <v>-21.293691354264102</v>
      </c>
      <c r="G84">
        <v>23.376128970642366</v>
      </c>
      <c r="H84">
        <v>-21.293691354264102</v>
      </c>
      <c r="I84">
        <v>23.376128970642366</v>
      </c>
    </row>
    <row r="85" spans="1:9" x14ac:dyDescent="0.4">
      <c r="A85" t="s">
        <v>32</v>
      </c>
      <c r="B85">
        <v>1.4267701268830899</v>
      </c>
      <c r="C85">
        <v>9.1603676363855939</v>
      </c>
      <c r="D85">
        <v>0.15575467967201048</v>
      </c>
      <c r="E85">
        <v>0.87645236328267206</v>
      </c>
      <c r="F85">
        <v>-16.684904711920655</v>
      </c>
      <c r="G85">
        <v>19.538444965686832</v>
      </c>
      <c r="H85">
        <v>-16.684904711920655</v>
      </c>
      <c r="I85">
        <v>19.538444965686832</v>
      </c>
    </row>
    <row r="86" spans="1:9" x14ac:dyDescent="0.4">
      <c r="A86" t="s">
        <v>40</v>
      </c>
      <c r="B86">
        <v>2.2380870536938952E-2</v>
      </c>
      <c r="C86">
        <v>6.175222145683449E-2</v>
      </c>
      <c r="D86">
        <v>0.36243020913156032</v>
      </c>
      <c r="E86">
        <v>0.71758103102899395</v>
      </c>
      <c r="F86">
        <v>-9.9714246165308093E-2</v>
      </c>
      <c r="G86">
        <v>0.144475987239186</v>
      </c>
      <c r="H86">
        <v>-9.9714246165308093E-2</v>
      </c>
      <c r="I86">
        <v>0.144475987239186</v>
      </c>
    </row>
    <row r="87" spans="1:9" ht="16.5" thickBot="1" x14ac:dyDescent="0.45">
      <c r="A87" s="11" t="s">
        <v>42</v>
      </c>
      <c r="B87" s="11">
        <v>-7.8855392650752337E-2</v>
      </c>
      <c r="C87" s="11">
        <v>2.9302841435857322E-2</v>
      </c>
      <c r="D87" s="11">
        <v>-2.6910493585874069</v>
      </c>
      <c r="E87" s="11">
        <v>7.996896387637599E-3</v>
      </c>
      <c r="F87" s="11">
        <v>-0.1367923180020017</v>
      </c>
      <c r="G87" s="11">
        <v>-2.091846729950296E-2</v>
      </c>
      <c r="H87" s="11">
        <v>-0.1367923180020017</v>
      </c>
      <c r="I87" s="11">
        <v>-2.091846729950296E-2</v>
      </c>
    </row>
    <row r="90" spans="1:9" x14ac:dyDescent="0.4">
      <c r="A90" t="s">
        <v>1947</v>
      </c>
    </row>
    <row r="91" spans="1:9" ht="16.5" thickBot="1" x14ac:dyDescent="0.45"/>
    <row r="92" spans="1:9" x14ac:dyDescent="0.4">
      <c r="A92" s="19" t="s">
        <v>1928</v>
      </c>
      <c r="B92" s="19"/>
    </row>
    <row r="93" spans="1:9" x14ac:dyDescent="0.4">
      <c r="A93" t="s">
        <v>1929</v>
      </c>
      <c r="B93">
        <v>0.45100802642933624</v>
      </c>
    </row>
    <row r="94" spans="1:9" x14ac:dyDescent="0.4">
      <c r="A94" t="s">
        <v>1930</v>
      </c>
      <c r="B94">
        <v>0.20340823990368487</v>
      </c>
    </row>
    <row r="95" spans="1:9" x14ac:dyDescent="0.4">
      <c r="A95" t="s">
        <v>1931</v>
      </c>
      <c r="B95">
        <v>0.15788871075532401</v>
      </c>
    </row>
    <row r="96" spans="1:9" x14ac:dyDescent="0.4">
      <c r="A96" t="s">
        <v>1890</v>
      </c>
      <c r="B96">
        <v>18.970338200585495</v>
      </c>
    </row>
    <row r="97" spans="1:9" ht="16.5" thickBot="1" x14ac:dyDescent="0.45">
      <c r="A97" s="11" t="s">
        <v>1932</v>
      </c>
      <c r="B97" s="11">
        <v>149</v>
      </c>
    </row>
    <row r="99" spans="1:9" ht="16.5" thickBot="1" x14ac:dyDescent="0.45">
      <c r="A99" t="s">
        <v>1915</v>
      </c>
    </row>
    <row r="100" spans="1:9" x14ac:dyDescent="0.4">
      <c r="A100" s="19"/>
      <c r="B100" s="19" t="s">
        <v>1918</v>
      </c>
      <c r="C100" s="19" t="s">
        <v>1917</v>
      </c>
      <c r="D100" s="19" t="s">
        <v>1919</v>
      </c>
      <c r="E100" s="19" t="s">
        <v>1920</v>
      </c>
      <c r="F100" s="19" t="s">
        <v>1936</v>
      </c>
    </row>
    <row r="101" spans="1:9" x14ac:dyDescent="0.4">
      <c r="A101" t="s">
        <v>1933</v>
      </c>
      <c r="B101">
        <v>8</v>
      </c>
      <c r="C101">
        <v>12865.033302454896</v>
      </c>
      <c r="D101">
        <v>1608.129162806862</v>
      </c>
      <c r="E101">
        <v>4.4685927932321219</v>
      </c>
      <c r="F101">
        <v>7.5663794336667579E-5</v>
      </c>
    </row>
    <row r="102" spans="1:9" x14ac:dyDescent="0.4">
      <c r="A102" t="s">
        <v>1934</v>
      </c>
      <c r="B102">
        <v>140</v>
      </c>
      <c r="C102">
        <v>50382.322402243073</v>
      </c>
      <c r="D102">
        <v>359.87373144459337</v>
      </c>
    </row>
    <row r="103" spans="1:9" ht="16.5" thickBot="1" x14ac:dyDescent="0.45">
      <c r="A103" s="11" t="s">
        <v>1925</v>
      </c>
      <c r="B103" s="11">
        <v>148</v>
      </c>
      <c r="C103" s="11">
        <v>63247.355704697969</v>
      </c>
      <c r="D103" s="11"/>
      <c r="E103" s="11"/>
      <c r="F103" s="11"/>
    </row>
    <row r="104" spans="1:9" ht="16.5" thickBot="1" x14ac:dyDescent="0.45"/>
    <row r="105" spans="1:9" x14ac:dyDescent="0.4">
      <c r="A105" s="19"/>
      <c r="B105" s="19" t="s">
        <v>1937</v>
      </c>
      <c r="C105" s="19" t="s">
        <v>1890</v>
      </c>
      <c r="D105" s="19" t="s">
        <v>1938</v>
      </c>
      <c r="E105" s="19" t="s">
        <v>1921</v>
      </c>
      <c r="F105" s="19" t="s">
        <v>1939</v>
      </c>
      <c r="G105" s="19" t="s">
        <v>1940</v>
      </c>
      <c r="H105" s="19" t="s">
        <v>1941</v>
      </c>
      <c r="I105" s="19" t="s">
        <v>1942</v>
      </c>
    </row>
    <row r="106" spans="1:9" x14ac:dyDescent="0.4">
      <c r="A106" t="s">
        <v>1935</v>
      </c>
      <c r="B106">
        <v>47.787540076616921</v>
      </c>
      <c r="C106">
        <v>10.67272590199488</v>
      </c>
      <c r="D106">
        <v>4.4775384016640745</v>
      </c>
      <c r="E106">
        <v>1.5535599867961154E-5</v>
      </c>
      <c r="F106">
        <v>26.686987633197223</v>
      </c>
      <c r="G106">
        <v>68.888092520036622</v>
      </c>
      <c r="H106">
        <v>26.686987633197223</v>
      </c>
      <c r="I106">
        <v>68.888092520036622</v>
      </c>
    </row>
    <row r="107" spans="1:9" x14ac:dyDescent="0.4">
      <c r="A107" t="s">
        <v>48</v>
      </c>
      <c r="B107">
        <v>4.1372336538618146</v>
      </c>
      <c r="C107">
        <v>4.5251544542819184</v>
      </c>
      <c r="D107">
        <v>0.91427457242856436</v>
      </c>
      <c r="E107">
        <v>0.36214452809255726</v>
      </c>
      <c r="F107">
        <v>-4.8092397919991647</v>
      </c>
      <c r="G107">
        <v>13.083707099722794</v>
      </c>
      <c r="H107">
        <v>-4.8092397919991647</v>
      </c>
      <c r="I107">
        <v>13.083707099722794</v>
      </c>
    </row>
    <row r="108" spans="1:9" x14ac:dyDescent="0.4">
      <c r="A108" t="s">
        <v>1926</v>
      </c>
      <c r="B108">
        <v>7.3495133939875501</v>
      </c>
      <c r="C108">
        <v>5.1196926823927686</v>
      </c>
      <c r="D108">
        <v>1.4355380000177353</v>
      </c>
      <c r="E108">
        <v>0.15336431253845845</v>
      </c>
      <c r="F108">
        <v>-2.7723940672383289</v>
      </c>
      <c r="G108">
        <v>17.471420855213431</v>
      </c>
      <c r="H108">
        <v>-2.7723940672383289</v>
      </c>
      <c r="I108">
        <v>17.471420855213431</v>
      </c>
    </row>
    <row r="109" spans="1:9" x14ac:dyDescent="0.4">
      <c r="A109" t="s">
        <v>1904</v>
      </c>
      <c r="B109">
        <v>19.917934454410602</v>
      </c>
      <c r="C109">
        <v>4.3988413858128466</v>
      </c>
      <c r="D109">
        <v>4.5279956032627071</v>
      </c>
      <c r="E109">
        <v>1.2626318314001208E-5</v>
      </c>
      <c r="F109">
        <v>11.221188730407704</v>
      </c>
      <c r="G109">
        <v>28.614680178413501</v>
      </c>
      <c r="H109">
        <v>11.221188730407704</v>
      </c>
      <c r="I109">
        <v>28.614680178413501</v>
      </c>
    </row>
    <row r="110" spans="1:9" x14ac:dyDescent="0.4">
      <c r="A110" t="s">
        <v>1907</v>
      </c>
      <c r="B110">
        <v>1.3938527532198852</v>
      </c>
      <c r="C110">
        <v>4.7698783818840038</v>
      </c>
      <c r="D110">
        <v>0.29221976780660436</v>
      </c>
      <c r="E110">
        <v>0.77055120017981182</v>
      </c>
      <c r="F110">
        <v>-8.0364530439958912</v>
      </c>
      <c r="G110">
        <v>10.824158550435662</v>
      </c>
      <c r="H110">
        <v>-8.0364530439958912</v>
      </c>
      <c r="I110">
        <v>10.824158550435662</v>
      </c>
    </row>
    <row r="111" spans="1:9" x14ac:dyDescent="0.4">
      <c r="A111" t="s">
        <v>22</v>
      </c>
      <c r="B111">
        <v>0.18134891724630975</v>
      </c>
      <c r="C111">
        <v>0.12960126697099786</v>
      </c>
      <c r="D111">
        <v>1.3992835215638129</v>
      </c>
      <c r="E111">
        <v>0.16393970792081192</v>
      </c>
      <c r="F111">
        <v>-7.4879749690974939E-2</v>
      </c>
      <c r="G111">
        <v>0.43757758418359444</v>
      </c>
      <c r="H111">
        <v>-7.4879749690974939E-2</v>
      </c>
      <c r="I111">
        <v>0.43757758418359444</v>
      </c>
    </row>
    <row r="112" spans="1:9" x14ac:dyDescent="0.4">
      <c r="A112" t="s">
        <v>32</v>
      </c>
      <c r="B112">
        <v>1.3837664662116933</v>
      </c>
      <c r="C112">
        <v>9.1160255899864371</v>
      </c>
      <c r="D112">
        <v>0.15179492998919414</v>
      </c>
      <c r="E112" s="27">
        <v>0.87956720630127561</v>
      </c>
      <c r="F112">
        <v>-16.639105834960336</v>
      </c>
      <c r="G112">
        <v>19.406638767383722</v>
      </c>
      <c r="H112">
        <v>-16.639105834960336</v>
      </c>
      <c r="I112">
        <v>19.406638767383722</v>
      </c>
    </row>
    <row r="113" spans="1:9" x14ac:dyDescent="0.4">
      <c r="A113" t="s">
        <v>40</v>
      </c>
      <c r="B113">
        <v>2.1608905837819048E-2</v>
      </c>
      <c r="C113">
        <v>6.0964607296855357E-2</v>
      </c>
      <c r="D113">
        <v>0.35445001281807104</v>
      </c>
      <c r="E113">
        <v>0.72353498361774193</v>
      </c>
      <c r="F113">
        <v>-9.8921397785863452E-2</v>
      </c>
      <c r="G113">
        <v>0.14213920946150155</v>
      </c>
      <c r="H113">
        <v>-9.8921397785863452E-2</v>
      </c>
      <c r="I113">
        <v>0.14213920946150155</v>
      </c>
    </row>
    <row r="114" spans="1:9" ht="16.5" thickBot="1" x14ac:dyDescent="0.45">
      <c r="A114" s="11" t="s">
        <v>42</v>
      </c>
      <c r="B114" s="11">
        <v>-7.9984151437462694E-2</v>
      </c>
      <c r="C114" s="11">
        <v>2.652679022565867E-2</v>
      </c>
      <c r="D114" s="11">
        <v>-3.01522162150233</v>
      </c>
      <c r="E114" s="11">
        <v>3.0500060172667055E-3</v>
      </c>
      <c r="F114" s="11">
        <v>-0.13242904072366488</v>
      </c>
      <c r="G114" s="11">
        <v>-2.7539262151260513E-2</v>
      </c>
      <c r="H114" s="11">
        <v>-0.13242904072366488</v>
      </c>
      <c r="I114" s="11">
        <v>-2.7539262151260513E-2</v>
      </c>
    </row>
    <row r="118" spans="1:9" x14ac:dyDescent="0.4">
      <c r="A118" t="s">
        <v>1946</v>
      </c>
    </row>
    <row r="119" spans="1:9" ht="16.5" thickBot="1" x14ac:dyDescent="0.45"/>
    <row r="120" spans="1:9" x14ac:dyDescent="0.4">
      <c r="A120" s="19" t="s">
        <v>1928</v>
      </c>
      <c r="B120" s="19"/>
    </row>
    <row r="121" spans="1:9" x14ac:dyDescent="0.4">
      <c r="A121" t="s">
        <v>1929</v>
      </c>
      <c r="B121">
        <v>0.45086265534246023</v>
      </c>
    </row>
    <row r="122" spans="1:9" x14ac:dyDescent="0.4">
      <c r="A122" t="s">
        <v>1930</v>
      </c>
      <c r="B122">
        <v>0.20327713398245409</v>
      </c>
    </row>
    <row r="123" spans="1:9" x14ac:dyDescent="0.4">
      <c r="A123" t="s">
        <v>1931</v>
      </c>
      <c r="B123">
        <v>0.16372351652059011</v>
      </c>
    </row>
    <row r="124" spans="1:9" x14ac:dyDescent="0.4">
      <c r="A124" t="s">
        <v>1890</v>
      </c>
      <c r="B124">
        <v>18.904503291990146</v>
      </c>
    </row>
    <row r="125" spans="1:9" ht="16.5" thickBot="1" x14ac:dyDescent="0.45">
      <c r="A125" s="11" t="s">
        <v>1932</v>
      </c>
      <c r="B125" s="11">
        <v>149</v>
      </c>
    </row>
    <row r="127" spans="1:9" ht="16.5" thickBot="1" x14ac:dyDescent="0.45">
      <c r="A127" t="s">
        <v>1915</v>
      </c>
    </row>
    <row r="128" spans="1:9" x14ac:dyDescent="0.4">
      <c r="A128" s="19"/>
      <c r="B128" s="19" t="s">
        <v>1918</v>
      </c>
      <c r="C128" s="19" t="s">
        <v>1917</v>
      </c>
      <c r="D128" s="19" t="s">
        <v>1919</v>
      </c>
      <c r="E128" s="19" t="s">
        <v>1920</v>
      </c>
      <c r="F128" s="19" t="s">
        <v>1936</v>
      </c>
    </row>
    <row r="129" spans="1:9" x14ac:dyDescent="0.4">
      <c r="A129" t="s">
        <v>1933</v>
      </c>
      <c r="B129">
        <v>7</v>
      </c>
      <c r="C129">
        <v>12856.741199619821</v>
      </c>
      <c r="D129">
        <v>1836.677314231403</v>
      </c>
      <c r="E129">
        <v>5.1392804761396551</v>
      </c>
      <c r="F129">
        <v>3.1475110011225633E-5</v>
      </c>
    </row>
    <row r="130" spans="1:9" x14ac:dyDescent="0.4">
      <c r="A130" t="s">
        <v>1934</v>
      </c>
      <c r="B130">
        <v>141</v>
      </c>
      <c r="C130">
        <v>50390.614505078149</v>
      </c>
      <c r="D130">
        <v>357.38024471686629</v>
      </c>
    </row>
    <row r="131" spans="1:9" ht="16.5" thickBot="1" x14ac:dyDescent="0.45">
      <c r="A131" s="11" t="s">
        <v>1925</v>
      </c>
      <c r="B131" s="11">
        <v>148</v>
      </c>
      <c r="C131" s="11">
        <v>63247.355704697969</v>
      </c>
      <c r="D131" s="11"/>
      <c r="E131" s="11"/>
      <c r="F131" s="11"/>
    </row>
    <row r="132" spans="1:9" ht="16.5" thickBot="1" x14ac:dyDescent="0.45"/>
    <row r="133" spans="1:9" x14ac:dyDescent="0.4">
      <c r="A133" s="19"/>
      <c r="B133" s="19" t="s">
        <v>1937</v>
      </c>
      <c r="C133" s="19" t="s">
        <v>1890</v>
      </c>
      <c r="D133" s="19" t="s">
        <v>1938</v>
      </c>
      <c r="E133" s="19" t="s">
        <v>1921</v>
      </c>
      <c r="F133" s="19" t="s">
        <v>1939</v>
      </c>
      <c r="G133" s="19" t="s">
        <v>1940</v>
      </c>
      <c r="H133" s="19" t="s">
        <v>1941</v>
      </c>
      <c r="I133" s="19" t="s">
        <v>1942</v>
      </c>
    </row>
    <row r="134" spans="1:9" x14ac:dyDescent="0.4">
      <c r="A134" t="s">
        <v>1935</v>
      </c>
      <c r="B134">
        <v>48.338821615417075</v>
      </c>
      <c r="C134">
        <v>10.000980269659921</v>
      </c>
      <c r="D134">
        <v>4.8334083571850517</v>
      </c>
      <c r="E134">
        <v>3.4630263258924079E-6</v>
      </c>
      <c r="F134">
        <v>28.567568803116448</v>
      </c>
      <c r="G134">
        <v>68.110074427717706</v>
      </c>
      <c r="H134">
        <v>28.567568803116448</v>
      </c>
      <c r="I134">
        <v>68.110074427717706</v>
      </c>
    </row>
    <row r="135" spans="1:9" x14ac:dyDescent="0.4">
      <c r="A135" t="s">
        <v>48</v>
      </c>
      <c r="B135">
        <v>3.8526848079212166</v>
      </c>
      <c r="C135">
        <v>4.1043283123374561</v>
      </c>
      <c r="D135">
        <v>0.93868826144833284</v>
      </c>
      <c r="E135">
        <v>0.34949601965718891</v>
      </c>
      <c r="F135">
        <v>-4.2612910724318009</v>
      </c>
      <c r="G135">
        <v>11.966660688274233</v>
      </c>
      <c r="H135">
        <v>-4.2612910724318009</v>
      </c>
      <c r="I135">
        <v>11.966660688274233</v>
      </c>
    </row>
    <row r="136" spans="1:9" x14ac:dyDescent="0.4">
      <c r="A136" t="s">
        <v>1926</v>
      </c>
      <c r="B136">
        <v>7.5069383460785382</v>
      </c>
      <c r="C136">
        <v>4.9961523618343762</v>
      </c>
      <c r="D136">
        <v>1.5025439182808082</v>
      </c>
      <c r="E136" s="21">
        <v>0.13519303641300551</v>
      </c>
      <c r="F136">
        <v>-2.370112580046257</v>
      </c>
      <c r="G136">
        <v>17.383989272203333</v>
      </c>
      <c r="H136">
        <v>-2.370112580046257</v>
      </c>
      <c r="I136">
        <v>17.383989272203333</v>
      </c>
    </row>
    <row r="137" spans="1:9" x14ac:dyDescent="0.4">
      <c r="A137" t="s">
        <v>1904</v>
      </c>
      <c r="B137">
        <v>20.025624928678464</v>
      </c>
      <c r="C137">
        <v>4.3261885197991061</v>
      </c>
      <c r="D137">
        <v>4.6289302551263738</v>
      </c>
      <c r="E137">
        <v>8.2574201720922171E-6</v>
      </c>
      <c r="F137">
        <v>11.473046618119582</v>
      </c>
      <c r="G137">
        <v>28.578203239237347</v>
      </c>
      <c r="H137">
        <v>11.473046618119582</v>
      </c>
      <c r="I137">
        <v>28.578203239237347</v>
      </c>
    </row>
    <row r="138" spans="1:9" x14ac:dyDescent="0.4">
      <c r="A138" t="s">
        <v>1907</v>
      </c>
      <c r="B138">
        <v>1.4500353746869139</v>
      </c>
      <c r="C138">
        <v>4.738993238295623</v>
      </c>
      <c r="D138">
        <v>0.30597962515946076</v>
      </c>
      <c r="E138" s="27">
        <v>0.76007146799586411</v>
      </c>
      <c r="F138">
        <v>-7.9186295825245328</v>
      </c>
      <c r="G138">
        <v>10.818700331898361</v>
      </c>
      <c r="H138">
        <v>-7.9186295825245328</v>
      </c>
      <c r="I138">
        <v>10.818700331898361</v>
      </c>
    </row>
    <row r="139" spans="1:9" x14ac:dyDescent="0.4">
      <c r="A139" t="s">
        <v>22</v>
      </c>
      <c r="B139">
        <v>0.18533180342742844</v>
      </c>
      <c r="C139">
        <v>0.12647693611868396</v>
      </c>
      <c r="D139">
        <v>1.465340710447919</v>
      </c>
      <c r="E139">
        <v>0.14505434158587927</v>
      </c>
      <c r="F139">
        <v>-6.4704434171581338E-2</v>
      </c>
      <c r="G139">
        <v>0.43536804102643822</v>
      </c>
      <c r="H139">
        <v>-6.4704434171581338E-2</v>
      </c>
      <c r="I139">
        <v>0.43536804102643822</v>
      </c>
    </row>
    <row r="140" spans="1:9" x14ac:dyDescent="0.4">
      <c r="A140" t="s">
        <v>40</v>
      </c>
      <c r="B140">
        <v>2.0839361155606338E-2</v>
      </c>
      <c r="C140">
        <v>6.0542614297598482E-2</v>
      </c>
      <c r="D140">
        <v>0.34420979994636541</v>
      </c>
      <c r="E140">
        <v>0.73120132539306515</v>
      </c>
      <c r="F140">
        <v>-9.8849239453554727E-2</v>
      </c>
      <c r="G140">
        <v>0.1405279617647674</v>
      </c>
      <c r="H140">
        <v>-9.8849239453554727E-2</v>
      </c>
      <c r="I140">
        <v>0.1405279617647674</v>
      </c>
    </row>
    <row r="141" spans="1:9" ht="16.5" thickBot="1" x14ac:dyDescent="0.45">
      <c r="A141" s="11" t="s">
        <v>42</v>
      </c>
      <c r="B141" s="11">
        <v>-8.0442534360838425E-2</v>
      </c>
      <c r="C141" s="11">
        <v>2.6262888355902236E-2</v>
      </c>
      <c r="D141" s="11">
        <v>-3.0629736253956255</v>
      </c>
      <c r="E141" s="11">
        <v>2.6256606424413594E-3</v>
      </c>
      <c r="F141" s="11">
        <v>-0.13236246533410756</v>
      </c>
      <c r="G141" s="11">
        <v>-2.8522603387569304E-2</v>
      </c>
      <c r="H141" s="11">
        <v>-0.13236246533410756</v>
      </c>
      <c r="I141" s="11">
        <v>-2.8522603387569304E-2</v>
      </c>
    </row>
    <row r="145" spans="1:9" x14ac:dyDescent="0.4">
      <c r="A145" t="s">
        <v>1945</v>
      </c>
    </row>
    <row r="146" spans="1:9" ht="16.5" thickBot="1" x14ac:dyDescent="0.45"/>
    <row r="147" spans="1:9" x14ac:dyDescent="0.4">
      <c r="A147" s="13" t="s">
        <v>1928</v>
      </c>
      <c r="B147" s="13"/>
    </row>
    <row r="148" spans="1:9" x14ac:dyDescent="0.4">
      <c r="A148" t="s">
        <v>1929</v>
      </c>
      <c r="B148">
        <v>0.43648574665435114</v>
      </c>
    </row>
    <row r="149" spans="1:9" x14ac:dyDescent="0.4">
      <c r="A149" t="s">
        <v>1930</v>
      </c>
      <c r="B149">
        <v>0.1905198070324064</v>
      </c>
    </row>
    <row r="150" spans="1:9" x14ac:dyDescent="0.4">
      <c r="A150" t="s">
        <v>1931</v>
      </c>
      <c r="B150">
        <v>0.16221630378179122</v>
      </c>
    </row>
    <row r="151" spans="1:9" x14ac:dyDescent="0.4">
      <c r="A151" t="s">
        <v>1890</v>
      </c>
      <c r="B151">
        <v>18.921531321649059</v>
      </c>
    </row>
    <row r="152" spans="1:9" ht="16.5" thickBot="1" x14ac:dyDescent="0.45">
      <c r="A152" s="11" t="s">
        <v>1932</v>
      </c>
      <c r="B152" s="11">
        <v>149</v>
      </c>
    </row>
    <row r="154" spans="1:9" ht="16.5" thickBot="1" x14ac:dyDescent="0.45">
      <c r="A154" t="s">
        <v>1915</v>
      </c>
    </row>
    <row r="155" spans="1:9" x14ac:dyDescent="0.4">
      <c r="A155" s="19"/>
      <c r="B155" s="19" t="s">
        <v>1918</v>
      </c>
      <c r="C155" s="19" t="s">
        <v>1917</v>
      </c>
      <c r="D155" s="19" t="s">
        <v>1919</v>
      </c>
      <c r="E155" s="19" t="s">
        <v>1920</v>
      </c>
      <c r="F155" s="19" t="s">
        <v>1936</v>
      </c>
    </row>
    <row r="156" spans="1:9" x14ac:dyDescent="0.4">
      <c r="A156" t="s">
        <v>1933</v>
      </c>
      <c r="B156">
        <v>5</v>
      </c>
      <c r="C156">
        <v>12049.874004169025</v>
      </c>
      <c r="D156">
        <v>2409.9748008338051</v>
      </c>
      <c r="E156">
        <v>6.731315390375415</v>
      </c>
      <c r="F156">
        <v>1.1570180138463204E-5</v>
      </c>
    </row>
    <row r="157" spans="1:9" x14ac:dyDescent="0.4">
      <c r="A157" t="s">
        <v>1934</v>
      </c>
      <c r="B157">
        <v>143</v>
      </c>
      <c r="C157">
        <v>51197.481700528944</v>
      </c>
      <c r="D157">
        <v>358.02434755614644</v>
      </c>
    </row>
    <row r="158" spans="1:9" ht="16.5" thickBot="1" x14ac:dyDescent="0.45">
      <c r="A158" s="11" t="s">
        <v>1925</v>
      </c>
      <c r="B158" s="11">
        <v>148</v>
      </c>
      <c r="C158" s="11">
        <v>63247.355704697969</v>
      </c>
      <c r="D158" s="11"/>
      <c r="E158" s="11"/>
      <c r="F158" s="11"/>
    </row>
    <row r="159" spans="1:9" ht="16.5" thickBot="1" x14ac:dyDescent="0.45"/>
    <row r="160" spans="1:9" x14ac:dyDescent="0.4">
      <c r="A160" s="19"/>
      <c r="B160" s="19" t="s">
        <v>1937</v>
      </c>
      <c r="C160" s="19" t="s">
        <v>1890</v>
      </c>
      <c r="D160" s="19" t="s">
        <v>1938</v>
      </c>
      <c r="E160" s="19" t="s">
        <v>1921</v>
      </c>
      <c r="F160" s="19" t="s">
        <v>1939</v>
      </c>
      <c r="G160" s="19" t="s">
        <v>1940</v>
      </c>
      <c r="H160" s="19" t="s">
        <v>1941</v>
      </c>
      <c r="I160" s="19" t="s">
        <v>1942</v>
      </c>
    </row>
    <row r="161" spans="1:9" x14ac:dyDescent="0.4">
      <c r="A161" t="s">
        <v>1935</v>
      </c>
      <c r="B161">
        <v>50.544098846846637</v>
      </c>
      <c r="C161">
        <v>9.8536893661985712</v>
      </c>
      <c r="D161">
        <v>5.1294593292365898</v>
      </c>
      <c r="E161">
        <v>9.2952658044234201E-7</v>
      </c>
      <c r="F161">
        <v>31.066387955858104</v>
      </c>
      <c r="G161">
        <v>70.02180973783517</v>
      </c>
      <c r="H161">
        <v>31.066387955858104</v>
      </c>
      <c r="I161">
        <v>70.02180973783517</v>
      </c>
    </row>
    <row r="162" spans="1:9" x14ac:dyDescent="0.4">
      <c r="A162" t="s">
        <v>48</v>
      </c>
      <c r="B162">
        <v>3.7987615700395603</v>
      </c>
      <c r="C162">
        <v>4.057290367564276</v>
      </c>
      <c r="D162">
        <v>0.9362804300151879</v>
      </c>
      <c r="E162">
        <v>0.35070732179841968</v>
      </c>
      <c r="F162">
        <v>-4.2212526442604679</v>
      </c>
      <c r="G162">
        <v>11.818775784339589</v>
      </c>
      <c r="H162">
        <v>-4.2212526442604679</v>
      </c>
      <c r="I162">
        <v>11.818775784339589</v>
      </c>
    </row>
    <row r="163" spans="1:9" x14ac:dyDescent="0.4">
      <c r="A163" t="s">
        <v>1904</v>
      </c>
      <c r="B163">
        <v>18.382947521213101</v>
      </c>
      <c r="C163">
        <v>4.1103836157022116</v>
      </c>
      <c r="D163">
        <v>4.4723191896220582</v>
      </c>
      <c r="E163">
        <v>1.5652875168080995E-5</v>
      </c>
      <c r="F163">
        <v>10.257984297556066</v>
      </c>
      <c r="G163">
        <v>26.507910744870138</v>
      </c>
      <c r="H163">
        <v>10.257984297556066</v>
      </c>
      <c r="I163">
        <v>26.507910744870138</v>
      </c>
    </row>
    <row r="164" spans="1:9" x14ac:dyDescent="0.4">
      <c r="A164" t="s">
        <v>22</v>
      </c>
      <c r="B164">
        <v>0.15480917821918</v>
      </c>
      <c r="C164">
        <v>0.12463353110348467</v>
      </c>
      <c r="D164">
        <v>1.2421149978543105</v>
      </c>
      <c r="E164">
        <v>0.21622736081237301</v>
      </c>
      <c r="F164">
        <v>-9.1552950313518983E-2</v>
      </c>
      <c r="G164">
        <v>0.40117130675187895</v>
      </c>
      <c r="H164">
        <v>-9.1552950313518983E-2</v>
      </c>
      <c r="I164">
        <v>0.40117130675187895</v>
      </c>
    </row>
    <row r="165" spans="1:9" x14ac:dyDescent="0.4">
      <c r="A165" t="s">
        <v>40</v>
      </c>
      <c r="B165">
        <v>1.9255258253756166E-2</v>
      </c>
      <c r="C165">
        <v>6.0528151488678919E-2</v>
      </c>
      <c r="D165">
        <v>0.31812070549284222</v>
      </c>
      <c r="E165" s="27">
        <v>0.75085747965840921</v>
      </c>
      <c r="F165">
        <v>-0.10039026654902836</v>
      </c>
      <c r="G165">
        <v>0.13890078305654069</v>
      </c>
      <c r="H165">
        <v>-0.10039026654902836</v>
      </c>
      <c r="I165">
        <v>0.13890078305654069</v>
      </c>
    </row>
    <row r="166" spans="1:9" ht="16.5" thickBot="1" x14ac:dyDescent="0.45">
      <c r="A166" s="11" t="s">
        <v>42</v>
      </c>
      <c r="B166" s="11">
        <v>-8.1426698373167239E-2</v>
      </c>
      <c r="C166" s="11">
        <v>2.6067456083767253E-2</v>
      </c>
      <c r="D166" s="11">
        <v>-3.1236917830226378</v>
      </c>
      <c r="E166" s="11">
        <v>2.1625293119373586E-3</v>
      </c>
      <c r="F166" s="11">
        <v>-0.13295403543382761</v>
      </c>
      <c r="G166" s="11">
        <v>-2.989936131250686E-2</v>
      </c>
      <c r="H166" s="11">
        <v>-0.13295403543382761</v>
      </c>
      <c r="I166" s="11">
        <v>-2.989936131250686E-2</v>
      </c>
    </row>
    <row r="170" spans="1:9" x14ac:dyDescent="0.4">
      <c r="A170" t="s">
        <v>1944</v>
      </c>
    </row>
    <row r="171" spans="1:9" ht="16.5" thickBot="1" x14ac:dyDescent="0.45"/>
    <row r="172" spans="1:9" x14ac:dyDescent="0.4">
      <c r="A172" s="13" t="s">
        <v>1928</v>
      </c>
      <c r="B172" s="13"/>
    </row>
    <row r="173" spans="1:9" x14ac:dyDescent="0.4">
      <c r="A173" t="s">
        <v>1929</v>
      </c>
      <c r="B173">
        <v>0.43582902575757249</v>
      </c>
    </row>
    <row r="174" spans="1:9" x14ac:dyDescent="0.4">
      <c r="A174" t="s">
        <v>1930</v>
      </c>
      <c r="B174">
        <v>0.18994693969279478</v>
      </c>
    </row>
    <row r="175" spans="1:9" x14ac:dyDescent="0.4">
      <c r="A175" t="s">
        <v>1931</v>
      </c>
      <c r="B175">
        <v>0.16744546579537242</v>
      </c>
    </row>
    <row r="176" spans="1:9" x14ac:dyDescent="0.4">
      <c r="A176" t="s">
        <v>1890</v>
      </c>
      <c r="B176">
        <v>18.862387994831469</v>
      </c>
    </row>
    <row r="177" spans="1:9" ht="16.5" thickBot="1" x14ac:dyDescent="0.45">
      <c r="A177" s="11" t="s">
        <v>1932</v>
      </c>
      <c r="B177" s="11">
        <v>149</v>
      </c>
    </row>
    <row r="179" spans="1:9" ht="16.5" thickBot="1" x14ac:dyDescent="0.45">
      <c r="A179" t="s">
        <v>1915</v>
      </c>
    </row>
    <row r="180" spans="1:9" x14ac:dyDescent="0.4">
      <c r="A180" s="19"/>
      <c r="B180" s="19" t="s">
        <v>1918</v>
      </c>
      <c r="C180" s="19" t="s">
        <v>1917</v>
      </c>
      <c r="D180" s="19" t="s">
        <v>1919</v>
      </c>
      <c r="E180" s="19" t="s">
        <v>1920</v>
      </c>
      <c r="F180" s="19" t="s">
        <v>1936</v>
      </c>
    </row>
    <row r="181" spans="1:9" x14ac:dyDescent="0.4">
      <c r="A181" t="s">
        <v>1933</v>
      </c>
      <c r="B181">
        <v>4</v>
      </c>
      <c r="C181">
        <v>12013.641659769004</v>
      </c>
      <c r="D181">
        <v>3003.410414942251</v>
      </c>
      <c r="E181">
        <v>8.4415332328320911</v>
      </c>
      <c r="F181">
        <v>3.7982421535944772E-6</v>
      </c>
    </row>
    <row r="182" spans="1:9" x14ac:dyDescent="0.4">
      <c r="A182" t="s">
        <v>1934</v>
      </c>
      <c r="B182">
        <v>144</v>
      </c>
      <c r="C182">
        <v>51233.714044928965</v>
      </c>
      <c r="D182">
        <v>355.78968086756225</v>
      </c>
    </row>
    <row r="183" spans="1:9" ht="16.5" thickBot="1" x14ac:dyDescent="0.45">
      <c r="A183" s="11" t="s">
        <v>1925</v>
      </c>
      <c r="B183" s="11">
        <v>148</v>
      </c>
      <c r="C183" s="11">
        <v>63247.355704697969</v>
      </c>
      <c r="D183" s="11"/>
      <c r="E183" s="11"/>
      <c r="F183" s="11"/>
    </row>
    <row r="184" spans="1:9" ht="16.5" thickBot="1" x14ac:dyDescent="0.45"/>
    <row r="185" spans="1:9" x14ac:dyDescent="0.4">
      <c r="A185" s="19"/>
      <c r="B185" s="19" t="s">
        <v>1937</v>
      </c>
      <c r="C185" s="19" t="s">
        <v>1890</v>
      </c>
      <c r="D185" s="19" t="s">
        <v>1938</v>
      </c>
      <c r="E185" s="19" t="s">
        <v>1921</v>
      </c>
      <c r="F185" s="19" t="s">
        <v>1939</v>
      </c>
      <c r="G185" s="19" t="s">
        <v>1940</v>
      </c>
      <c r="H185" s="19" t="s">
        <v>1941</v>
      </c>
      <c r="I185" s="19" t="s">
        <v>1942</v>
      </c>
    </row>
    <row r="186" spans="1:9" x14ac:dyDescent="0.4">
      <c r="A186" t="s">
        <v>1935</v>
      </c>
      <c r="B186">
        <v>52.750188097707678</v>
      </c>
      <c r="C186">
        <v>6.9784306486212486</v>
      </c>
      <c r="D186">
        <v>7.5590330768895306</v>
      </c>
      <c r="E186">
        <v>4.3496525868140282E-12</v>
      </c>
      <c r="F186">
        <v>38.956796079015966</v>
      </c>
      <c r="G186">
        <v>66.543580116399397</v>
      </c>
      <c r="H186">
        <v>38.956796079015966</v>
      </c>
      <c r="I186">
        <v>66.543580116399397</v>
      </c>
    </row>
    <row r="187" spans="1:9" x14ac:dyDescent="0.4">
      <c r="A187" t="s">
        <v>22</v>
      </c>
      <c r="B187">
        <v>0.15462130076788461</v>
      </c>
      <c r="C187">
        <v>0.12424256722220761</v>
      </c>
      <c r="D187">
        <v>1.2445114764197096</v>
      </c>
      <c r="E187">
        <v>0.21533311546957096</v>
      </c>
      <c r="F187">
        <v>-9.0953459718293439E-2</v>
      </c>
      <c r="G187">
        <v>0.40019606125406265</v>
      </c>
      <c r="H187">
        <v>-9.0953459718293439E-2</v>
      </c>
      <c r="I187">
        <v>0.40019606125406265</v>
      </c>
    </row>
    <row r="188" spans="1:9" x14ac:dyDescent="0.4">
      <c r="A188" t="s">
        <v>48</v>
      </c>
      <c r="B188">
        <v>3.9515814110285477</v>
      </c>
      <c r="C188">
        <v>4.0161585782600495</v>
      </c>
      <c r="D188">
        <v>0.98392066299845182</v>
      </c>
      <c r="E188" s="27">
        <v>0.32680480184099292</v>
      </c>
      <c r="F188">
        <v>-3.986657495181301</v>
      </c>
      <c r="G188">
        <v>11.889820317238396</v>
      </c>
      <c r="H188">
        <v>-3.986657495181301</v>
      </c>
      <c r="I188">
        <v>11.889820317238396</v>
      </c>
    </row>
    <row r="189" spans="1:9" x14ac:dyDescent="0.4">
      <c r="A189" t="s">
        <v>1904</v>
      </c>
      <c r="B189">
        <v>18.301635823598382</v>
      </c>
      <c r="C189">
        <v>4.0896057711747646</v>
      </c>
      <c r="D189">
        <v>4.4751589389363371</v>
      </c>
      <c r="E189">
        <v>1.5402030212093931E-5</v>
      </c>
      <c r="F189">
        <v>10.218223027218068</v>
      </c>
      <c r="G189">
        <v>26.385048619978697</v>
      </c>
      <c r="H189">
        <v>10.218223027218068</v>
      </c>
      <c r="I189">
        <v>26.385048619978697</v>
      </c>
    </row>
    <row r="190" spans="1:9" ht="16.5" thickBot="1" x14ac:dyDescent="0.45">
      <c r="A190" s="11" t="s">
        <v>42</v>
      </c>
      <c r="B190" s="11">
        <v>-8.1587805144042277E-2</v>
      </c>
      <c r="C190" s="11">
        <v>2.5981072108731938E-2</v>
      </c>
      <c r="D190" s="11">
        <v>-3.1402786152393443</v>
      </c>
      <c r="E190" s="11">
        <v>2.0485966909920255E-3</v>
      </c>
      <c r="F190" s="11">
        <v>-0.13294134445770456</v>
      </c>
      <c r="G190" s="11">
        <v>-3.0234265830380004E-2</v>
      </c>
      <c r="H190" s="11">
        <v>-0.13294134445770456</v>
      </c>
      <c r="I190" s="11">
        <v>-3.0234265830380004E-2</v>
      </c>
    </row>
    <row r="194" spans="1:6" x14ac:dyDescent="0.4">
      <c r="A194" t="s">
        <v>1943</v>
      </c>
    </row>
    <row r="195" spans="1:6" ht="16.5" thickBot="1" x14ac:dyDescent="0.45"/>
    <row r="196" spans="1:6" x14ac:dyDescent="0.4">
      <c r="A196" s="13" t="s">
        <v>1928</v>
      </c>
      <c r="B196" s="13"/>
    </row>
    <row r="197" spans="1:6" x14ac:dyDescent="0.4">
      <c r="A197" t="s">
        <v>1929</v>
      </c>
      <c r="B197">
        <v>0.42953582062270412</v>
      </c>
    </row>
    <row r="198" spans="1:6" x14ac:dyDescent="0.4">
      <c r="A198" t="s">
        <v>1930</v>
      </c>
      <c r="B198">
        <v>0.18450102119801984</v>
      </c>
    </row>
    <row r="199" spans="1:6" x14ac:dyDescent="0.4">
      <c r="A199" t="s">
        <v>1931</v>
      </c>
      <c r="B199">
        <v>0.1676286285331513</v>
      </c>
    </row>
    <row r="200" spans="1:6" x14ac:dyDescent="0.4">
      <c r="A200" t="s">
        <v>1890</v>
      </c>
      <c r="B200">
        <v>18.860313009635501</v>
      </c>
    </row>
    <row r="201" spans="1:6" ht="16.5" thickBot="1" x14ac:dyDescent="0.45">
      <c r="A201" s="11" t="s">
        <v>1932</v>
      </c>
      <c r="B201" s="11">
        <v>149</v>
      </c>
    </row>
    <row r="203" spans="1:6" ht="16.5" thickBot="1" x14ac:dyDescent="0.45">
      <c r="A203" t="s">
        <v>1915</v>
      </c>
    </row>
    <row r="204" spans="1:6" x14ac:dyDescent="0.4">
      <c r="A204" s="19"/>
      <c r="B204" s="19" t="s">
        <v>1918</v>
      </c>
      <c r="C204" s="19" t="s">
        <v>1917</v>
      </c>
      <c r="D204" s="19" t="s">
        <v>1919</v>
      </c>
      <c r="E204" s="19" t="s">
        <v>1920</v>
      </c>
      <c r="F204" s="19" t="s">
        <v>1936</v>
      </c>
    </row>
    <row r="205" spans="1:6" x14ac:dyDescent="0.4">
      <c r="A205" t="s">
        <v>1933</v>
      </c>
      <c r="B205">
        <v>3</v>
      </c>
      <c r="C205">
        <v>11669.201715591182</v>
      </c>
      <c r="D205">
        <v>3889.7339051970607</v>
      </c>
      <c r="E205">
        <v>10.935083414825044</v>
      </c>
      <c r="F205">
        <v>1.6165024931040514E-6</v>
      </c>
    </row>
    <row r="206" spans="1:6" x14ac:dyDescent="0.4">
      <c r="A206" t="s">
        <v>1934</v>
      </c>
      <c r="B206">
        <v>145</v>
      </c>
      <c r="C206">
        <v>51578.153989106788</v>
      </c>
      <c r="D206">
        <v>355.71140682142612</v>
      </c>
    </row>
    <row r="207" spans="1:6" ht="16.5" thickBot="1" x14ac:dyDescent="0.45">
      <c r="A207" s="11" t="s">
        <v>1925</v>
      </c>
      <c r="B207" s="11">
        <v>148</v>
      </c>
      <c r="C207" s="11">
        <v>63247.355704697969</v>
      </c>
      <c r="D207" s="11"/>
      <c r="E207" s="11"/>
      <c r="F207" s="11"/>
    </row>
    <row r="208" spans="1:6" ht="16.5" thickBot="1" x14ac:dyDescent="0.45"/>
    <row r="209" spans="1:9" x14ac:dyDescent="0.4">
      <c r="A209" s="19"/>
      <c r="B209" s="19" t="s">
        <v>1937</v>
      </c>
      <c r="C209" s="19" t="s">
        <v>1890</v>
      </c>
      <c r="D209" s="19" t="s">
        <v>1938</v>
      </c>
      <c r="E209" s="19" t="s">
        <v>1921</v>
      </c>
      <c r="F209" s="19" t="s">
        <v>1939</v>
      </c>
      <c r="G209" s="19" t="s">
        <v>1940</v>
      </c>
      <c r="H209" s="19" t="s">
        <v>1941</v>
      </c>
      <c r="I209" s="19" t="s">
        <v>1942</v>
      </c>
    </row>
    <row r="210" spans="1:9" x14ac:dyDescent="0.4">
      <c r="A210" t="s">
        <v>1935</v>
      </c>
      <c r="B210">
        <v>55.87762799211356</v>
      </c>
      <c r="C210">
        <v>6.2118298837230457</v>
      </c>
      <c r="D210">
        <v>8.995357090916249</v>
      </c>
      <c r="E210">
        <v>1.1920091574825717E-15</v>
      </c>
      <c r="F210">
        <v>43.600197416980237</v>
      </c>
      <c r="G210">
        <v>68.155058567246883</v>
      </c>
      <c r="H210">
        <v>43.600197416980237</v>
      </c>
      <c r="I210">
        <v>68.155058567246883</v>
      </c>
    </row>
    <row r="211" spans="1:9" x14ac:dyDescent="0.4">
      <c r="A211" t="s">
        <v>22</v>
      </c>
      <c r="B211">
        <v>0.15999535928617237</v>
      </c>
      <c r="C211">
        <v>0.12410879879119978</v>
      </c>
      <c r="D211">
        <v>1.2891540393952892</v>
      </c>
      <c r="E211" s="27">
        <v>0.19939729906519058</v>
      </c>
      <c r="F211">
        <v>-8.530066289157881E-2</v>
      </c>
      <c r="G211">
        <v>0.40529138146392352</v>
      </c>
      <c r="H211">
        <v>-8.530066289157881E-2</v>
      </c>
      <c r="I211">
        <v>0.40529138146392352</v>
      </c>
    </row>
    <row r="212" spans="1:9" x14ac:dyDescent="0.4">
      <c r="A212" t="s">
        <v>1904</v>
      </c>
      <c r="B212">
        <v>18.361624588674523</v>
      </c>
      <c r="C212">
        <v>4.0887014395588288</v>
      </c>
      <c r="D212">
        <v>4.4908205845070812</v>
      </c>
      <c r="E212">
        <v>1.4376565854594012E-5</v>
      </c>
      <c r="F212">
        <v>10.28047152970751</v>
      </c>
      <c r="G212">
        <v>26.442777647641535</v>
      </c>
      <c r="H212">
        <v>10.28047152970751</v>
      </c>
      <c r="I212">
        <v>26.442777647641535</v>
      </c>
    </row>
    <row r="213" spans="1:9" ht="16.5" thickBot="1" x14ac:dyDescent="0.45">
      <c r="A213" s="11" t="s">
        <v>42</v>
      </c>
      <c r="B213" s="11">
        <v>-8.141760443369081E-2</v>
      </c>
      <c r="C213" s="11">
        <v>2.5977638220872082E-2</v>
      </c>
      <c r="D213" s="11">
        <v>-3.134141900870524</v>
      </c>
      <c r="E213" s="11">
        <v>2.0864417299346571E-3</v>
      </c>
      <c r="F213" s="11">
        <v>-0.13276135590995175</v>
      </c>
      <c r="G213" s="11">
        <v>-3.0073852957429877E-2</v>
      </c>
      <c r="H213" s="11">
        <v>-0.13276135590995175</v>
      </c>
      <c r="I213" s="11">
        <v>-3.0073852957429877E-2</v>
      </c>
    </row>
    <row r="217" spans="1:9" x14ac:dyDescent="0.4">
      <c r="A217" t="s">
        <v>1951</v>
      </c>
    </row>
    <row r="218" spans="1:9" ht="16.5" thickBot="1" x14ac:dyDescent="0.45"/>
    <row r="219" spans="1:9" x14ac:dyDescent="0.4">
      <c r="A219" s="13" t="s">
        <v>1928</v>
      </c>
      <c r="B219" s="13"/>
    </row>
    <row r="220" spans="1:9" x14ac:dyDescent="0.4">
      <c r="A220" t="s">
        <v>1929</v>
      </c>
      <c r="B220">
        <v>0.41851424834560103</v>
      </c>
    </row>
    <row r="221" spans="1:9" x14ac:dyDescent="0.4">
      <c r="A221" t="s">
        <v>1930</v>
      </c>
      <c r="B221">
        <v>0.17515417606828343</v>
      </c>
    </row>
    <row r="222" spans="1:9" x14ac:dyDescent="0.4">
      <c r="A222" t="s">
        <v>1931</v>
      </c>
      <c r="B222" s="21">
        <v>0.16385491820620512</v>
      </c>
    </row>
    <row r="223" spans="1:9" x14ac:dyDescent="0.4">
      <c r="A223" t="s">
        <v>1890</v>
      </c>
      <c r="B223">
        <v>18.903018028901787</v>
      </c>
    </row>
    <row r="224" spans="1:9" ht="16.5" thickBot="1" x14ac:dyDescent="0.45">
      <c r="A224" s="11" t="s">
        <v>1932</v>
      </c>
      <c r="B224" s="11">
        <v>149</v>
      </c>
    </row>
    <row r="226" spans="1:9" ht="16.5" thickBot="1" x14ac:dyDescent="0.45">
      <c r="A226" t="s">
        <v>1915</v>
      </c>
    </row>
    <row r="227" spans="1:9" x14ac:dyDescent="0.4">
      <c r="A227" s="19"/>
      <c r="B227" s="19" t="s">
        <v>1918</v>
      </c>
      <c r="C227" s="19" t="s">
        <v>1917</v>
      </c>
      <c r="D227" s="19" t="s">
        <v>1919</v>
      </c>
      <c r="E227" s="19" t="s">
        <v>1920</v>
      </c>
      <c r="F227" s="19" t="s">
        <v>1936</v>
      </c>
    </row>
    <row r="228" spans="1:9" x14ac:dyDescent="0.4">
      <c r="A228" t="s">
        <v>1933</v>
      </c>
      <c r="B228">
        <v>2</v>
      </c>
      <c r="C228">
        <v>11078.038476954018</v>
      </c>
      <c r="D228">
        <v>5539.0192384770089</v>
      </c>
      <c r="E228">
        <v>15.501387631494122</v>
      </c>
      <c r="F228">
        <v>7.8562073674262405E-7</v>
      </c>
    </row>
    <row r="229" spans="1:9" x14ac:dyDescent="0.4">
      <c r="A229" t="s">
        <v>1934</v>
      </c>
      <c r="B229">
        <v>146</v>
      </c>
      <c r="C229">
        <v>52169.317227743952</v>
      </c>
      <c r="D229">
        <v>357.32409060098598</v>
      </c>
    </row>
    <row r="230" spans="1:9" ht="16.5" thickBot="1" x14ac:dyDescent="0.45">
      <c r="A230" s="11" t="s">
        <v>1925</v>
      </c>
      <c r="B230" s="11">
        <v>148</v>
      </c>
      <c r="C230" s="11">
        <v>63247.355704697969</v>
      </c>
      <c r="D230" s="11"/>
      <c r="E230" s="11"/>
      <c r="F230" s="11"/>
    </row>
    <row r="231" spans="1:9" ht="16.5" thickBot="1" x14ac:dyDescent="0.45"/>
    <row r="232" spans="1:9" x14ac:dyDescent="0.4">
      <c r="A232" s="19"/>
      <c r="B232" s="19" t="s">
        <v>1937</v>
      </c>
      <c r="C232" s="19" t="s">
        <v>1890</v>
      </c>
      <c r="D232" s="19" t="s">
        <v>1938</v>
      </c>
      <c r="E232" s="19" t="s">
        <v>1921</v>
      </c>
      <c r="F232" s="19" t="s">
        <v>1939</v>
      </c>
      <c r="G232" s="19" t="s">
        <v>1940</v>
      </c>
      <c r="H232" s="19" t="s">
        <v>1941</v>
      </c>
      <c r="I232" s="19" t="s">
        <v>1942</v>
      </c>
    </row>
    <row r="233" spans="1:9" x14ac:dyDescent="0.4">
      <c r="A233" t="s">
        <v>1935</v>
      </c>
      <c r="B233">
        <v>56.104211903686029</v>
      </c>
      <c r="C233">
        <v>6.2234025131233484</v>
      </c>
      <c r="D233">
        <v>9.0150382825758957</v>
      </c>
      <c r="E233">
        <v>1.0168533896161887E-15</v>
      </c>
      <c r="F233">
        <v>43.804617390086463</v>
      </c>
      <c r="G233">
        <v>68.403806417285594</v>
      </c>
      <c r="H233">
        <v>43.804617390086463</v>
      </c>
      <c r="I233">
        <v>68.403806417285594</v>
      </c>
    </row>
    <row r="234" spans="1:9" x14ac:dyDescent="0.4">
      <c r="A234" t="s">
        <v>1904</v>
      </c>
      <c r="B234">
        <v>17.22221708629295</v>
      </c>
      <c r="C234">
        <v>4.0010691476677227</v>
      </c>
      <c r="D234">
        <v>4.3044037607627983</v>
      </c>
      <c r="E234">
        <v>3.0537148408322912E-5</v>
      </c>
      <c r="F234">
        <v>9.3147214625704642</v>
      </c>
      <c r="G234">
        <v>25.129712710015436</v>
      </c>
      <c r="H234">
        <v>9.3147214625704642</v>
      </c>
      <c r="I234">
        <v>25.129712710015436</v>
      </c>
    </row>
    <row r="235" spans="1:9" ht="16.5" thickBot="1" x14ac:dyDescent="0.45">
      <c r="A235" s="11" t="s">
        <v>42</v>
      </c>
      <c r="B235" s="11">
        <v>-7.4085072847274697E-2</v>
      </c>
      <c r="C235" s="11">
        <v>2.5404698995815597E-2</v>
      </c>
      <c r="D235" s="11">
        <v>-2.9161956557516087</v>
      </c>
      <c r="E235" s="11">
        <v>4.103107415660787E-3</v>
      </c>
      <c r="F235" s="11">
        <v>-0.12429353931391872</v>
      </c>
      <c r="G235" s="11">
        <v>-2.3876606380630674E-2</v>
      </c>
      <c r="H235" s="11">
        <v>-0.12429353931391872</v>
      </c>
      <c r="I235" s="11">
        <v>-2.3876606380630674E-2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71A9B-5A9B-4D1C-8093-694477CC3E52}">
  <dimension ref="A1:AI150"/>
  <sheetViews>
    <sheetView zoomScale="40" workbookViewId="0">
      <selection activeCell="X33" sqref="X33"/>
    </sheetView>
  </sheetViews>
  <sheetFormatPr defaultColWidth="8.83203125" defaultRowHeight="16" x14ac:dyDescent="0.4"/>
  <cols>
    <col min="1" max="3" width="8.9140625" bestFit="1" customWidth="1"/>
    <col min="4" max="4" width="10.6640625" bestFit="1" customWidth="1"/>
    <col min="5" max="12" width="8.9140625" bestFit="1" customWidth="1"/>
    <col min="16" max="16" width="18.5" customWidth="1"/>
    <col min="17" max="17" width="28.58203125" customWidth="1"/>
    <col min="20" max="20" width="12.1640625" customWidth="1"/>
    <col min="21" max="21" width="16" customWidth="1"/>
    <col min="22" max="22" width="13.08203125" customWidth="1"/>
    <col min="23" max="23" width="12.5" customWidth="1"/>
    <col min="31" max="31" width="8.1640625" customWidth="1"/>
    <col min="32" max="32" width="0" hidden="1" customWidth="1"/>
    <col min="33" max="33" width="12.6640625" customWidth="1"/>
  </cols>
  <sheetData>
    <row r="1" spans="1:20" x14ac:dyDescent="0.4">
      <c r="A1" s="30" t="s">
        <v>25</v>
      </c>
      <c r="B1" s="30" t="s">
        <v>22</v>
      </c>
      <c r="C1" s="30" t="s">
        <v>27</v>
      </c>
      <c r="D1" s="30" t="s">
        <v>32</v>
      </c>
      <c r="E1" s="30" t="s">
        <v>40</v>
      </c>
      <c r="F1" s="30" t="s">
        <v>42</v>
      </c>
      <c r="G1" s="30" t="s">
        <v>1952</v>
      </c>
      <c r="H1" s="30" t="s">
        <v>1953</v>
      </c>
      <c r="I1" s="30" t="s">
        <v>1954</v>
      </c>
      <c r="J1" s="30" t="s">
        <v>1955</v>
      </c>
      <c r="K1" s="30" t="s">
        <v>1956</v>
      </c>
      <c r="L1" s="30" t="s">
        <v>1957</v>
      </c>
    </row>
    <row r="2" spans="1:20" x14ac:dyDescent="0.4">
      <c r="A2" s="30">
        <v>54</v>
      </c>
      <c r="B2" s="30">
        <v>1</v>
      </c>
      <c r="C2" s="30">
        <v>0.75800000000000001</v>
      </c>
      <c r="D2" s="30">
        <v>0.11600000000000001</v>
      </c>
      <c r="E2" s="30">
        <v>93</v>
      </c>
      <c r="F2" s="30">
        <v>177</v>
      </c>
      <c r="G2" s="30">
        <v>0</v>
      </c>
      <c r="H2" s="30">
        <v>1</v>
      </c>
      <c r="I2" s="30">
        <v>0</v>
      </c>
      <c r="J2" s="30">
        <v>0</v>
      </c>
      <c r="K2" s="30">
        <v>0</v>
      </c>
      <c r="L2" s="30">
        <v>0</v>
      </c>
      <c r="O2" t="s">
        <v>1915</v>
      </c>
    </row>
    <row r="3" spans="1:20" x14ac:dyDescent="0.4">
      <c r="A3" s="30">
        <v>74</v>
      </c>
      <c r="B3" s="30">
        <v>9</v>
      </c>
      <c r="C3" s="30">
        <v>0.50700000000000001</v>
      </c>
      <c r="D3" s="30">
        <v>1.8200000000000001E-2</v>
      </c>
      <c r="E3" s="30">
        <v>105</v>
      </c>
      <c r="F3" s="30">
        <v>244</v>
      </c>
      <c r="G3" s="30">
        <v>0</v>
      </c>
      <c r="H3" s="30">
        <v>1</v>
      </c>
      <c r="I3" s="30">
        <v>0</v>
      </c>
      <c r="J3" s="30">
        <v>0</v>
      </c>
      <c r="K3" s="30">
        <v>0</v>
      </c>
      <c r="L3" s="30">
        <v>0</v>
      </c>
      <c r="P3" t="s">
        <v>1918</v>
      </c>
      <c r="Q3" t="s">
        <v>1917</v>
      </c>
      <c r="R3" t="s">
        <v>1919</v>
      </c>
      <c r="S3" t="s">
        <v>1920</v>
      </c>
      <c r="T3" t="s">
        <v>1936</v>
      </c>
    </row>
    <row r="4" spans="1:20" x14ac:dyDescent="0.4">
      <c r="A4" s="30">
        <v>47</v>
      </c>
      <c r="B4" s="30">
        <v>2</v>
      </c>
      <c r="C4" s="30">
        <v>0.71199999999999997</v>
      </c>
      <c r="D4" s="30">
        <v>0.30599999999999999</v>
      </c>
      <c r="E4" s="30">
        <v>150</v>
      </c>
      <c r="F4" s="30">
        <v>224</v>
      </c>
      <c r="G4" s="30">
        <v>1</v>
      </c>
      <c r="H4" s="30">
        <v>0</v>
      </c>
      <c r="I4" s="30">
        <v>0</v>
      </c>
      <c r="J4" s="30">
        <v>0</v>
      </c>
      <c r="K4" s="30">
        <v>0</v>
      </c>
      <c r="L4" s="30">
        <v>0</v>
      </c>
      <c r="O4" t="s">
        <v>1958</v>
      </c>
      <c r="P4">
        <v>7671.2610000000004</v>
      </c>
      <c r="Q4">
        <v>5</v>
      </c>
      <c r="R4">
        <v>4.1723239999999997</v>
      </c>
      <c r="S4">
        <v>1.4679999999999999E-3</v>
      </c>
    </row>
    <row r="5" spans="1:20" x14ac:dyDescent="0.4">
      <c r="A5" s="30">
        <v>44</v>
      </c>
      <c r="B5" s="30">
        <v>1</v>
      </c>
      <c r="C5" s="30">
        <v>0.51800000000000002</v>
      </c>
      <c r="D5" s="30">
        <v>2.2599999999999999E-2</v>
      </c>
      <c r="E5" s="30">
        <v>128</v>
      </c>
      <c r="F5" s="30">
        <v>234</v>
      </c>
      <c r="G5" s="30">
        <v>0</v>
      </c>
      <c r="H5" s="30">
        <v>0</v>
      </c>
      <c r="I5" s="30">
        <v>0</v>
      </c>
      <c r="J5" s="30">
        <v>0</v>
      </c>
      <c r="K5" s="30">
        <v>0</v>
      </c>
      <c r="L5" s="30">
        <v>0</v>
      </c>
      <c r="O5" t="s">
        <v>1959</v>
      </c>
      <c r="P5">
        <v>298.81979999999999</v>
      </c>
      <c r="Q5">
        <v>1</v>
      </c>
      <c r="R5">
        <v>0.81262599999999996</v>
      </c>
      <c r="S5">
        <v>0.368927</v>
      </c>
    </row>
    <row r="6" spans="1:20" x14ac:dyDescent="0.4">
      <c r="A6" s="30">
        <v>61</v>
      </c>
      <c r="B6" s="30">
        <v>1</v>
      </c>
      <c r="C6" s="30">
        <v>0.73399999999999999</v>
      </c>
      <c r="D6" s="30">
        <v>8.1399999999999997E-3</v>
      </c>
      <c r="E6" s="30">
        <v>83</v>
      </c>
      <c r="F6" s="30">
        <v>177</v>
      </c>
      <c r="G6" s="30">
        <v>1</v>
      </c>
      <c r="H6" s="30">
        <v>0</v>
      </c>
      <c r="I6" s="30">
        <v>0</v>
      </c>
      <c r="J6" s="30">
        <v>0</v>
      </c>
      <c r="K6" s="30">
        <v>0</v>
      </c>
      <c r="L6" s="30">
        <v>0</v>
      </c>
      <c r="O6" t="s">
        <v>1960</v>
      </c>
      <c r="P6">
        <v>433.59160000000003</v>
      </c>
      <c r="Q6">
        <v>1</v>
      </c>
      <c r="R6">
        <v>1.1791309999999999</v>
      </c>
      <c r="S6">
        <v>0.27944000000000002</v>
      </c>
    </row>
    <row r="7" spans="1:20" x14ac:dyDescent="0.4">
      <c r="A7" s="30">
        <v>10</v>
      </c>
      <c r="B7" s="30">
        <v>45</v>
      </c>
      <c r="C7" s="30">
        <v>0.65600000000000003</v>
      </c>
      <c r="D7" s="30">
        <v>4.5999999999999999E-2</v>
      </c>
      <c r="E7" s="30">
        <v>145</v>
      </c>
      <c r="F7" s="30">
        <v>169</v>
      </c>
      <c r="G7" s="30">
        <v>0</v>
      </c>
      <c r="H7" s="30">
        <v>0</v>
      </c>
      <c r="I7" s="30">
        <v>0</v>
      </c>
      <c r="J7" s="30">
        <v>0</v>
      </c>
      <c r="K7" s="30">
        <v>1</v>
      </c>
      <c r="L7" s="30">
        <v>0</v>
      </c>
      <c r="O7" t="s">
        <v>27</v>
      </c>
      <c r="P7">
        <v>3.5436239999999999</v>
      </c>
      <c r="Q7">
        <v>1</v>
      </c>
      <c r="R7">
        <v>9.6369999999999997E-3</v>
      </c>
      <c r="S7">
        <v>0.92194299999999996</v>
      </c>
    </row>
    <row r="8" spans="1:20" x14ac:dyDescent="0.4">
      <c r="A8" s="30">
        <v>1</v>
      </c>
      <c r="B8" s="30">
        <v>13</v>
      </c>
      <c r="C8" s="30">
        <v>0.498</v>
      </c>
      <c r="D8" s="30">
        <v>0.32</v>
      </c>
      <c r="E8" s="30">
        <v>101</v>
      </c>
      <c r="F8" s="30">
        <v>170</v>
      </c>
      <c r="G8" s="30">
        <v>0</v>
      </c>
      <c r="H8" s="30">
        <v>0</v>
      </c>
      <c r="I8" s="30">
        <v>0</v>
      </c>
      <c r="J8" s="30">
        <v>0</v>
      </c>
      <c r="K8" s="30">
        <v>1</v>
      </c>
      <c r="L8" s="30">
        <v>0</v>
      </c>
      <c r="O8" t="s">
        <v>32</v>
      </c>
      <c r="P8">
        <v>8.507002</v>
      </c>
      <c r="Q8">
        <v>1</v>
      </c>
      <c r="R8">
        <v>2.3133999999999998E-2</v>
      </c>
      <c r="S8">
        <v>0.879332</v>
      </c>
    </row>
    <row r="9" spans="1:20" x14ac:dyDescent="0.4">
      <c r="A9" s="30">
        <v>30</v>
      </c>
      <c r="B9" s="30">
        <v>3</v>
      </c>
      <c r="C9" s="30">
        <v>0.62</v>
      </c>
      <c r="D9" s="30">
        <v>0.29699999999999999</v>
      </c>
      <c r="E9" s="30">
        <v>87</v>
      </c>
      <c r="F9" s="30">
        <v>220</v>
      </c>
      <c r="G9" s="30">
        <v>0</v>
      </c>
      <c r="H9" s="30">
        <v>0</v>
      </c>
      <c r="I9" s="30">
        <v>1</v>
      </c>
      <c r="J9" s="30">
        <v>0</v>
      </c>
      <c r="K9" s="30">
        <v>0</v>
      </c>
      <c r="L9" s="30">
        <v>1</v>
      </c>
      <c r="O9" t="s">
        <v>40</v>
      </c>
      <c r="P9">
        <v>44.536149999999999</v>
      </c>
      <c r="Q9">
        <v>1</v>
      </c>
      <c r="R9">
        <v>0.121114</v>
      </c>
      <c r="S9">
        <v>0.72836400000000001</v>
      </c>
    </row>
    <row r="10" spans="1:20" x14ac:dyDescent="0.4">
      <c r="A10" s="30">
        <v>31</v>
      </c>
      <c r="B10" s="30">
        <v>1</v>
      </c>
      <c r="C10" s="30">
        <v>0.64600000000000002</v>
      </c>
      <c r="D10" s="30">
        <v>5.21E-2</v>
      </c>
      <c r="E10" s="30">
        <v>112</v>
      </c>
      <c r="F10" s="30">
        <v>234</v>
      </c>
      <c r="G10" s="30">
        <v>0</v>
      </c>
      <c r="H10" s="30">
        <v>1</v>
      </c>
      <c r="I10" s="30">
        <v>0</v>
      </c>
      <c r="J10" s="30">
        <v>0</v>
      </c>
      <c r="K10" s="30">
        <v>0</v>
      </c>
      <c r="L10" s="30">
        <v>0</v>
      </c>
      <c r="O10" t="s">
        <v>42</v>
      </c>
      <c r="P10">
        <v>2620.3870000000002</v>
      </c>
      <c r="Q10">
        <v>1</v>
      </c>
      <c r="R10">
        <v>7.1260139999999996</v>
      </c>
      <c r="S10">
        <v>8.5159999999999993E-3</v>
      </c>
    </row>
    <row r="11" spans="1:20" x14ac:dyDescent="0.4">
      <c r="A11" s="30">
        <v>77</v>
      </c>
      <c r="B11" s="30">
        <v>44</v>
      </c>
      <c r="C11" s="30">
        <v>0.754</v>
      </c>
      <c r="D11" s="30">
        <v>0.153</v>
      </c>
      <c r="E11" s="30">
        <v>126</v>
      </c>
      <c r="F11" s="30">
        <v>215</v>
      </c>
      <c r="G11" s="30">
        <v>0</v>
      </c>
      <c r="H11" s="30">
        <v>0</v>
      </c>
      <c r="I11" s="30">
        <v>0</v>
      </c>
      <c r="J11" s="30">
        <v>0</v>
      </c>
      <c r="K11" s="30">
        <v>1</v>
      </c>
      <c r="L11" s="30">
        <v>0</v>
      </c>
      <c r="O11" t="s">
        <v>1934</v>
      </c>
      <c r="P11">
        <v>50377.82</v>
      </c>
      <c r="Q11">
        <v>137</v>
      </c>
    </row>
    <row r="12" spans="1:20" x14ac:dyDescent="0.4">
      <c r="A12" s="30">
        <v>4</v>
      </c>
      <c r="B12" s="30">
        <v>16</v>
      </c>
      <c r="C12" s="30">
        <v>0.28000000000000003</v>
      </c>
      <c r="D12" s="30">
        <v>2.3199999999999998E-2</v>
      </c>
      <c r="E12" s="30">
        <v>100</v>
      </c>
      <c r="F12" s="30">
        <v>406</v>
      </c>
      <c r="G12" s="30">
        <v>0</v>
      </c>
      <c r="H12" s="30">
        <v>0</v>
      </c>
      <c r="I12" s="30">
        <v>0</v>
      </c>
      <c r="J12" s="30">
        <v>0</v>
      </c>
      <c r="K12" s="30">
        <v>1</v>
      </c>
      <c r="L12" s="30">
        <v>0</v>
      </c>
    </row>
    <row r="13" spans="1:20" x14ac:dyDescent="0.4">
      <c r="A13" s="30">
        <v>14</v>
      </c>
      <c r="B13" s="30">
        <v>32</v>
      </c>
      <c r="C13" s="30">
        <v>0.44400000000000001</v>
      </c>
      <c r="D13" s="30">
        <v>1.1199999999999999E-3</v>
      </c>
      <c r="E13" s="30">
        <v>106</v>
      </c>
      <c r="F13" s="30">
        <v>447</v>
      </c>
      <c r="G13" s="30">
        <v>0</v>
      </c>
      <c r="H13" s="30">
        <v>0</v>
      </c>
      <c r="I13" s="30">
        <v>0</v>
      </c>
      <c r="J13" s="30">
        <v>0</v>
      </c>
      <c r="K13" s="30">
        <v>1</v>
      </c>
      <c r="L13" s="30">
        <v>0</v>
      </c>
    </row>
    <row r="14" spans="1:20" x14ac:dyDescent="0.4">
      <c r="A14" s="30">
        <v>2</v>
      </c>
      <c r="B14" s="30">
        <v>4</v>
      </c>
      <c r="C14" s="30">
        <v>0.55000000000000004</v>
      </c>
      <c r="D14" s="30">
        <v>9.5700000000000004E-3</v>
      </c>
      <c r="E14" s="30">
        <v>118</v>
      </c>
      <c r="F14" s="30">
        <v>379</v>
      </c>
      <c r="G14" s="30">
        <v>0</v>
      </c>
      <c r="H14" s="30">
        <v>0</v>
      </c>
      <c r="I14" s="30">
        <v>1</v>
      </c>
      <c r="J14" s="30">
        <v>0</v>
      </c>
      <c r="K14" s="30">
        <v>0</v>
      </c>
      <c r="L14" s="30">
        <v>1</v>
      </c>
    </row>
    <row r="15" spans="1:20" x14ac:dyDescent="0.4">
      <c r="A15" s="30">
        <v>53</v>
      </c>
      <c r="B15" s="30">
        <v>5</v>
      </c>
      <c r="C15" s="30">
        <v>0.72199999999999998</v>
      </c>
      <c r="D15" s="30">
        <v>1.0200000000000001E-2</v>
      </c>
      <c r="E15" s="30">
        <v>122</v>
      </c>
      <c r="F15" s="30">
        <v>236</v>
      </c>
      <c r="G15" s="30">
        <v>0</v>
      </c>
      <c r="H15" s="30">
        <v>1</v>
      </c>
      <c r="I15" s="30">
        <v>0</v>
      </c>
      <c r="J15" s="30">
        <v>0</v>
      </c>
      <c r="K15" s="30">
        <v>0</v>
      </c>
      <c r="L15" s="30">
        <v>0</v>
      </c>
    </row>
    <row r="16" spans="1:20" x14ac:dyDescent="0.4">
      <c r="A16" s="30">
        <v>79</v>
      </c>
      <c r="B16" s="30">
        <v>3</v>
      </c>
      <c r="C16" s="30">
        <v>0.69</v>
      </c>
      <c r="D16" s="30">
        <v>0.253</v>
      </c>
      <c r="E16" s="30">
        <v>102</v>
      </c>
      <c r="F16" s="30">
        <v>210</v>
      </c>
      <c r="G16" s="30">
        <v>0</v>
      </c>
      <c r="H16" s="30">
        <v>1</v>
      </c>
      <c r="I16" s="30">
        <v>0</v>
      </c>
      <c r="J16" s="30">
        <v>0</v>
      </c>
      <c r="K16" s="30">
        <v>0</v>
      </c>
      <c r="L16" s="30">
        <v>0</v>
      </c>
    </row>
    <row r="17" spans="1:35" ht="16.5" thickBot="1" x14ac:dyDescent="0.45">
      <c r="A17" s="30">
        <v>28</v>
      </c>
      <c r="B17" s="30">
        <v>10</v>
      </c>
      <c r="C17" s="30">
        <v>0.38700000000000001</v>
      </c>
      <c r="D17" s="30">
        <v>4.1599999999999998E-2</v>
      </c>
      <c r="E17" s="30">
        <v>79</v>
      </c>
      <c r="F17" s="30">
        <v>318</v>
      </c>
      <c r="G17" s="30">
        <v>0</v>
      </c>
      <c r="H17" s="30">
        <v>0</v>
      </c>
      <c r="I17" s="30">
        <v>0</v>
      </c>
      <c r="J17" s="30">
        <v>1</v>
      </c>
      <c r="K17" s="30">
        <v>0</v>
      </c>
      <c r="L17" s="30">
        <v>0</v>
      </c>
    </row>
    <row r="18" spans="1:35" x14ac:dyDescent="0.4">
      <c r="A18" s="30">
        <v>52</v>
      </c>
      <c r="B18" s="30">
        <v>15</v>
      </c>
      <c r="C18" s="30">
        <v>0.70299999999999996</v>
      </c>
      <c r="D18" s="30">
        <v>0.53500000000000003</v>
      </c>
      <c r="E18" s="30">
        <v>93</v>
      </c>
      <c r="F18" s="30">
        <v>267</v>
      </c>
      <c r="G18" s="30">
        <v>1</v>
      </c>
      <c r="H18" s="30">
        <v>0</v>
      </c>
      <c r="I18" s="30">
        <v>0</v>
      </c>
      <c r="J18" s="30">
        <v>0</v>
      </c>
      <c r="K18" s="30">
        <v>0</v>
      </c>
      <c r="L18" s="30">
        <v>0</v>
      </c>
      <c r="O18" s="19"/>
      <c r="P18" s="19" t="s">
        <v>1937</v>
      </c>
      <c r="Q18" s="19" t="s">
        <v>1890</v>
      </c>
      <c r="R18" s="19" t="s">
        <v>1938</v>
      </c>
      <c r="S18" s="19" t="s">
        <v>1921</v>
      </c>
      <c r="T18" s="19" t="s">
        <v>1939</v>
      </c>
      <c r="U18" s="19" t="s">
        <v>1940</v>
      </c>
      <c r="V18" s="19" t="s">
        <v>1941</v>
      </c>
      <c r="W18" s="19"/>
    </row>
    <row r="19" spans="1:35" x14ac:dyDescent="0.4">
      <c r="A19" s="30">
        <v>32</v>
      </c>
      <c r="B19" s="30">
        <v>1</v>
      </c>
      <c r="C19" s="30">
        <v>0.65100000000000002</v>
      </c>
      <c r="D19" s="30">
        <v>0.19400000000000001</v>
      </c>
      <c r="E19" s="30">
        <v>162</v>
      </c>
      <c r="F19" s="30">
        <v>236</v>
      </c>
      <c r="G19" s="30">
        <v>1</v>
      </c>
      <c r="H19" s="30">
        <v>0</v>
      </c>
      <c r="I19" s="30">
        <v>0</v>
      </c>
      <c r="J19" s="30">
        <v>0</v>
      </c>
      <c r="K19" s="30">
        <v>0</v>
      </c>
      <c r="L19" s="30">
        <v>0</v>
      </c>
      <c r="P19" s="30" t="s">
        <v>1935</v>
      </c>
      <c r="Q19" s="30">
        <v>50.732685333851173</v>
      </c>
      <c r="R19" s="30">
        <v>15.23622201110946</v>
      </c>
      <c r="S19" s="30">
        <v>3.3297418019282938</v>
      </c>
      <c r="T19" s="30">
        <v>1.117026755776883E-3</v>
      </c>
      <c r="U19" s="30">
        <v>20.604104371659311</v>
      </c>
      <c r="V19" s="30">
        <v>80.861266296043027</v>
      </c>
    </row>
    <row r="20" spans="1:35" x14ac:dyDescent="0.4">
      <c r="A20" s="30">
        <v>37</v>
      </c>
      <c r="B20" s="30">
        <v>4</v>
      </c>
      <c r="C20" s="30">
        <v>0.66700000000000004</v>
      </c>
      <c r="D20" s="30">
        <v>0.13200000000000001</v>
      </c>
      <c r="E20" s="30">
        <v>174</v>
      </c>
      <c r="F20" s="30">
        <v>191</v>
      </c>
      <c r="G20" s="30">
        <v>1</v>
      </c>
      <c r="H20" s="30">
        <v>0</v>
      </c>
      <c r="I20" s="30">
        <v>0</v>
      </c>
      <c r="J20" s="30">
        <v>0</v>
      </c>
      <c r="K20" s="30">
        <v>0</v>
      </c>
      <c r="L20" s="30">
        <v>0</v>
      </c>
      <c r="P20" s="30" t="s">
        <v>1926</v>
      </c>
      <c r="Q20" s="30">
        <v>7.4357769069604434</v>
      </c>
      <c r="R20" s="30">
        <v>5.9545883105475079</v>
      </c>
      <c r="S20" s="30">
        <v>1.248747439649063</v>
      </c>
      <c r="T20" s="30">
        <v>0.21388709350647939</v>
      </c>
      <c r="U20" s="30">
        <v>-4.339011874670609</v>
      </c>
      <c r="V20" s="30">
        <v>19.21056568859149</v>
      </c>
    </row>
    <row r="21" spans="1:35" x14ac:dyDescent="0.4">
      <c r="A21" s="30">
        <v>37</v>
      </c>
      <c r="B21" s="30">
        <v>0</v>
      </c>
      <c r="C21" s="30">
        <v>0.65200000000000002</v>
      </c>
      <c r="D21" s="30">
        <v>0.56200000000000006</v>
      </c>
      <c r="E21" s="30">
        <v>132</v>
      </c>
      <c r="F21" s="30">
        <v>213</v>
      </c>
      <c r="G21" s="30">
        <v>0</v>
      </c>
      <c r="H21" s="30">
        <v>1</v>
      </c>
      <c r="I21" s="30">
        <v>0</v>
      </c>
      <c r="J21" s="30">
        <v>0</v>
      </c>
      <c r="K21" s="30">
        <v>0</v>
      </c>
      <c r="L21" s="30">
        <v>1</v>
      </c>
      <c r="P21" s="30" t="s">
        <v>1904</v>
      </c>
      <c r="Q21" s="30">
        <v>20.078975118514819</v>
      </c>
      <c r="R21" s="30">
        <v>5.1997926890143518</v>
      </c>
      <c r="S21" s="30">
        <v>3.8614953170990538</v>
      </c>
      <c r="T21" s="30">
        <v>1.7306592357885261E-4</v>
      </c>
      <c r="U21" s="30">
        <v>9.7967427578054433</v>
      </c>
      <c r="V21" s="30">
        <v>30.361207479224191</v>
      </c>
    </row>
    <row r="22" spans="1:35" x14ac:dyDescent="0.4">
      <c r="A22" s="30">
        <v>29</v>
      </c>
      <c r="B22" s="30">
        <v>35</v>
      </c>
      <c r="C22" s="30">
        <v>0.64200000000000002</v>
      </c>
      <c r="D22" s="30">
        <v>0.60699999999999998</v>
      </c>
      <c r="E22" s="30">
        <v>127</v>
      </c>
      <c r="F22" s="30">
        <v>220</v>
      </c>
      <c r="G22" s="30">
        <v>0</v>
      </c>
      <c r="H22" s="30">
        <v>0</v>
      </c>
      <c r="I22" s="30">
        <v>0</v>
      </c>
      <c r="J22" s="30">
        <v>0</v>
      </c>
      <c r="K22" s="30">
        <v>1</v>
      </c>
      <c r="L22" s="30">
        <v>0</v>
      </c>
      <c r="P22" s="30" t="s">
        <v>1907</v>
      </c>
      <c r="Q22" s="30">
        <v>1.534706095154786</v>
      </c>
      <c r="R22" s="30">
        <v>5.8694506858566209</v>
      </c>
      <c r="S22" s="30">
        <v>0.26147354791699767</v>
      </c>
      <c r="T22" s="30">
        <v>0.79412002840077067</v>
      </c>
      <c r="U22" s="30">
        <v>-10.071728890072031</v>
      </c>
      <c r="V22" s="30">
        <v>13.141141080381599</v>
      </c>
    </row>
    <row r="23" spans="1:35" x14ac:dyDescent="0.4">
      <c r="A23" s="30">
        <v>59</v>
      </c>
      <c r="B23" s="30">
        <v>30</v>
      </c>
      <c r="C23" s="30">
        <v>0.27300000000000002</v>
      </c>
      <c r="D23" s="30">
        <v>2.41E-2</v>
      </c>
      <c r="E23" s="30">
        <v>82</v>
      </c>
      <c r="F23" s="30">
        <v>287</v>
      </c>
      <c r="G23" s="30">
        <v>0</v>
      </c>
      <c r="H23" s="30">
        <v>0</v>
      </c>
      <c r="I23" s="30">
        <v>0</v>
      </c>
      <c r="J23" s="30">
        <v>0</v>
      </c>
      <c r="K23" s="30">
        <v>1</v>
      </c>
      <c r="L23" s="30">
        <v>0</v>
      </c>
      <c r="P23" s="30" t="s">
        <v>1908</v>
      </c>
      <c r="Q23" s="30">
        <v>0.21690343877774901</v>
      </c>
      <c r="R23" s="30">
        <v>5.7557364028122278</v>
      </c>
      <c r="S23" s="30">
        <v>3.7684741551362727E-2</v>
      </c>
      <c r="T23" s="30">
        <v>0.96999389889842746</v>
      </c>
      <c r="U23" s="30">
        <v>-11.16466937387357</v>
      </c>
      <c r="V23" s="30">
        <v>11.598476251429069</v>
      </c>
    </row>
    <row r="24" spans="1:35" x14ac:dyDescent="0.4">
      <c r="A24" s="30">
        <v>63</v>
      </c>
      <c r="B24" s="30">
        <v>1</v>
      </c>
      <c r="C24" s="30">
        <v>0.57099999999999995</v>
      </c>
      <c r="D24" s="30">
        <v>1.14E-2</v>
      </c>
      <c r="E24" s="30">
        <v>150</v>
      </c>
      <c r="F24" s="30">
        <v>253</v>
      </c>
      <c r="G24" s="30">
        <v>0</v>
      </c>
      <c r="H24" s="30">
        <v>0</v>
      </c>
      <c r="I24" s="30">
        <v>0</v>
      </c>
      <c r="J24" s="30">
        <v>0</v>
      </c>
      <c r="K24" s="30">
        <v>0</v>
      </c>
      <c r="L24" s="30">
        <v>0</v>
      </c>
      <c r="P24" s="30" t="s">
        <v>1909</v>
      </c>
      <c r="Q24" s="30">
        <v>0.40348884531406748</v>
      </c>
      <c r="R24" s="30">
        <v>6.6665936387843807</v>
      </c>
      <c r="S24" s="30">
        <v>6.0523989787930381E-2</v>
      </c>
      <c r="T24" s="30">
        <v>0.95182651181150724</v>
      </c>
      <c r="U24" s="30">
        <v>-12.779241495691419</v>
      </c>
      <c r="V24" s="30">
        <v>13.58621918631956</v>
      </c>
    </row>
    <row r="25" spans="1:35" ht="16.5" thickBot="1" x14ac:dyDescent="0.45">
      <c r="A25" s="30">
        <v>33</v>
      </c>
      <c r="B25" s="30">
        <v>38</v>
      </c>
      <c r="C25" s="30">
        <v>0.54100000000000004</v>
      </c>
      <c r="D25" s="30">
        <v>4.7500000000000001E-2</v>
      </c>
      <c r="E25" s="30">
        <v>140</v>
      </c>
      <c r="F25" s="30">
        <v>341</v>
      </c>
      <c r="G25" s="30">
        <v>0</v>
      </c>
      <c r="H25" s="30">
        <v>0</v>
      </c>
      <c r="I25" s="30">
        <v>0</v>
      </c>
      <c r="J25" s="30">
        <v>0</v>
      </c>
      <c r="K25" s="30">
        <v>1</v>
      </c>
      <c r="L25" s="30">
        <v>0</v>
      </c>
      <c r="P25" s="30" t="s">
        <v>1961</v>
      </c>
      <c r="Q25" s="30">
        <v>-4.2168502780019823</v>
      </c>
      <c r="R25" s="30">
        <v>4.6778134302270784</v>
      </c>
      <c r="S25" s="30">
        <v>-0.90145755937027205</v>
      </c>
      <c r="T25" s="30">
        <v>0.36892712873694739</v>
      </c>
      <c r="U25" s="30">
        <v>-13.466904560215889</v>
      </c>
      <c r="V25" s="30">
        <v>5.033204004211929</v>
      </c>
    </row>
    <row r="26" spans="1:35" ht="16.5" thickBot="1" x14ac:dyDescent="0.45">
      <c r="A26" s="30">
        <v>28</v>
      </c>
      <c r="B26" s="30">
        <v>2</v>
      </c>
      <c r="C26" s="30">
        <v>0.74</v>
      </c>
      <c r="D26" s="30">
        <v>0.129</v>
      </c>
      <c r="E26" s="30">
        <v>85</v>
      </c>
      <c r="F26" s="30">
        <v>295</v>
      </c>
      <c r="G26" s="30">
        <v>0</v>
      </c>
      <c r="H26" s="30">
        <v>0</v>
      </c>
      <c r="I26" s="30">
        <v>0</v>
      </c>
      <c r="J26" s="30">
        <v>1</v>
      </c>
      <c r="K26" s="30">
        <v>0</v>
      </c>
      <c r="L26" s="30">
        <v>0</v>
      </c>
      <c r="P26" s="30" t="s">
        <v>1962</v>
      </c>
      <c r="Q26" s="30">
        <v>0.1770900166288607</v>
      </c>
      <c r="R26" s="30">
        <v>0.16308464047196511</v>
      </c>
      <c r="S26" s="30">
        <v>1.0858779595452051</v>
      </c>
      <c r="T26" s="30">
        <v>0.27943997013392441</v>
      </c>
      <c r="U26" s="30">
        <v>-0.14539864168596781</v>
      </c>
      <c r="V26" s="30">
        <v>0.49957867494368918</v>
      </c>
      <c r="AG26" s="31" t="s">
        <v>1966</v>
      </c>
      <c r="AH26" s="41" t="s">
        <v>1963</v>
      </c>
      <c r="AI26" s="32" t="s">
        <v>1967</v>
      </c>
    </row>
    <row r="27" spans="1:35" x14ac:dyDescent="0.4">
      <c r="A27" s="30">
        <v>41</v>
      </c>
      <c r="B27" s="30">
        <v>1</v>
      </c>
      <c r="C27" s="30">
        <v>0.495</v>
      </c>
      <c r="D27" s="30">
        <v>7.3000000000000001E-3</v>
      </c>
      <c r="E27" s="30">
        <v>92</v>
      </c>
      <c r="F27" s="30">
        <v>203</v>
      </c>
      <c r="G27" s="30">
        <v>0</v>
      </c>
      <c r="H27" s="30">
        <v>0</v>
      </c>
      <c r="I27" s="30">
        <v>0</v>
      </c>
      <c r="J27" s="30">
        <v>0</v>
      </c>
      <c r="K27" s="30">
        <v>1</v>
      </c>
      <c r="L27" s="30">
        <v>0</v>
      </c>
      <c r="P27" s="30" t="s">
        <v>27</v>
      </c>
      <c r="Q27" s="30">
        <v>1.2068063459161651</v>
      </c>
      <c r="R27" s="30">
        <v>12.29343164830116</v>
      </c>
      <c r="S27" s="30">
        <v>9.8166759326549349E-2</v>
      </c>
      <c r="T27" s="30">
        <v>0.92194335798578653</v>
      </c>
      <c r="U27" s="30">
        <v>-23.10260910162382</v>
      </c>
      <c r="V27" s="30">
        <v>25.51622179345615</v>
      </c>
      <c r="AG27" s="35" t="s">
        <v>1965</v>
      </c>
      <c r="AH27" s="35">
        <v>94.063704000000001</v>
      </c>
      <c r="AI27" s="34">
        <v>0.40200000000000002</v>
      </c>
    </row>
    <row r="28" spans="1:35" x14ac:dyDescent="0.4">
      <c r="A28" s="30">
        <v>47</v>
      </c>
      <c r="B28" s="30">
        <v>1</v>
      </c>
      <c r="C28" s="30">
        <v>0.59799999999999998</v>
      </c>
      <c r="D28" s="30">
        <v>9.3800000000000003E-5</v>
      </c>
      <c r="E28" s="30">
        <v>140</v>
      </c>
      <c r="F28" s="30">
        <v>174</v>
      </c>
      <c r="G28" s="30">
        <v>0</v>
      </c>
      <c r="H28" s="30">
        <v>0</v>
      </c>
      <c r="I28" s="30">
        <v>0</v>
      </c>
      <c r="J28" s="30">
        <v>0</v>
      </c>
      <c r="K28" s="30">
        <v>0</v>
      </c>
      <c r="L28" s="30">
        <v>0</v>
      </c>
      <c r="P28" s="30" t="s">
        <v>32</v>
      </c>
      <c r="Q28" s="30">
        <v>1.404628705539082</v>
      </c>
      <c r="R28" s="30">
        <v>9.2349097025554467</v>
      </c>
      <c r="S28" s="30">
        <v>0.15209988519437259</v>
      </c>
      <c r="T28" s="30">
        <v>0.8793319191911515</v>
      </c>
      <c r="U28" s="30">
        <v>-16.85676998300054</v>
      </c>
      <c r="V28" s="30">
        <v>19.6660273940787</v>
      </c>
      <c r="AG28" s="35" t="s">
        <v>22</v>
      </c>
      <c r="AH28" s="35">
        <v>1.8623179999999999</v>
      </c>
      <c r="AI28" s="35">
        <v>0.40200000000000002</v>
      </c>
    </row>
    <row r="29" spans="1:35" x14ac:dyDescent="0.4">
      <c r="A29" s="30">
        <v>3</v>
      </c>
      <c r="B29" s="30">
        <v>24</v>
      </c>
      <c r="C29" s="30">
        <v>0.55200000000000005</v>
      </c>
      <c r="D29" s="30">
        <v>0.38300000000000001</v>
      </c>
      <c r="E29" s="30">
        <v>128</v>
      </c>
      <c r="F29" s="30">
        <v>346</v>
      </c>
      <c r="G29" s="30">
        <v>0</v>
      </c>
      <c r="H29" s="30">
        <v>0</v>
      </c>
      <c r="I29" s="30">
        <v>0</v>
      </c>
      <c r="J29" s="30">
        <v>0</v>
      </c>
      <c r="K29" s="30">
        <v>1</v>
      </c>
      <c r="L29" s="30">
        <v>0</v>
      </c>
      <c r="P29" s="30" t="s">
        <v>40</v>
      </c>
      <c r="Q29" s="30">
        <v>2.221088725345299E-2</v>
      </c>
      <c r="R29" s="30">
        <v>6.3821784036811088E-2</v>
      </c>
      <c r="S29" s="30">
        <v>0.34801420218278772</v>
      </c>
      <c r="T29" s="30">
        <v>0.72836367212437492</v>
      </c>
      <c r="U29" s="30">
        <v>-0.1039923005251536</v>
      </c>
      <c r="V29" s="30">
        <v>0.14841407503205961</v>
      </c>
      <c r="AG29" s="35" t="s">
        <v>27</v>
      </c>
      <c r="AH29" s="35">
        <v>1.563347</v>
      </c>
      <c r="AI29" s="35">
        <v>0.40200000000000002</v>
      </c>
    </row>
    <row r="30" spans="1:35" x14ac:dyDescent="0.4">
      <c r="A30" s="30">
        <v>30</v>
      </c>
      <c r="B30" s="30">
        <v>1</v>
      </c>
      <c r="C30" s="30">
        <v>0.71199999999999997</v>
      </c>
      <c r="D30" s="30">
        <v>3.7399999999999998E-3</v>
      </c>
      <c r="E30" s="30">
        <v>126</v>
      </c>
      <c r="F30" s="30">
        <v>166</v>
      </c>
      <c r="G30" s="30">
        <v>0</v>
      </c>
      <c r="H30" s="30">
        <v>0</v>
      </c>
      <c r="I30" s="30">
        <v>0</v>
      </c>
      <c r="J30" s="30">
        <v>0</v>
      </c>
      <c r="K30" s="30">
        <v>0</v>
      </c>
      <c r="L30" s="30">
        <v>0</v>
      </c>
      <c r="P30" s="30" t="s">
        <v>42</v>
      </c>
      <c r="Q30" s="30">
        <v>-7.8908810477035463E-2</v>
      </c>
      <c r="R30" s="30">
        <v>2.955984515261121E-2</v>
      </c>
      <c r="S30" s="30">
        <v>-2.6694595343665029</v>
      </c>
      <c r="T30" s="30">
        <v>8.5157351534745213E-3</v>
      </c>
      <c r="U30" s="30">
        <v>-0.1373613709123537</v>
      </c>
      <c r="V30" s="30">
        <v>-2.045625004171726E-2</v>
      </c>
      <c r="AG30" s="35" t="s">
        <v>32</v>
      </c>
      <c r="AH30" s="35">
        <v>1.3293820000000001</v>
      </c>
      <c r="AI30" s="35">
        <v>0.40200000000000002</v>
      </c>
    </row>
    <row r="31" spans="1:35" x14ac:dyDescent="0.4">
      <c r="A31" s="30">
        <v>63</v>
      </c>
      <c r="B31" s="30">
        <v>8</v>
      </c>
      <c r="C31" s="30">
        <v>0.51400000000000001</v>
      </c>
      <c r="D31" s="30">
        <v>0.20799999999999999</v>
      </c>
      <c r="E31" s="30">
        <v>95</v>
      </c>
      <c r="F31" s="30">
        <v>234</v>
      </c>
      <c r="G31" s="30">
        <v>0</v>
      </c>
      <c r="H31" s="30">
        <v>1</v>
      </c>
      <c r="I31" s="30">
        <v>0</v>
      </c>
      <c r="J31" s="30">
        <v>0</v>
      </c>
      <c r="K31" s="30">
        <v>0</v>
      </c>
      <c r="L31" s="30">
        <v>0</v>
      </c>
      <c r="AG31" s="35" t="s">
        <v>40</v>
      </c>
      <c r="AH31" s="35">
        <v>1.1021620000000001</v>
      </c>
      <c r="AI31" s="35">
        <v>0.40200000000000002</v>
      </c>
    </row>
    <row r="32" spans="1:35" x14ac:dyDescent="0.4">
      <c r="A32" s="30">
        <v>50</v>
      </c>
      <c r="B32" s="30">
        <v>1</v>
      </c>
      <c r="C32" s="30">
        <v>0.72299999999999998</v>
      </c>
      <c r="D32" s="30">
        <v>8.1899999999999994E-3</v>
      </c>
      <c r="E32" s="30">
        <v>168</v>
      </c>
      <c r="F32" s="30">
        <v>151</v>
      </c>
      <c r="G32" s="30">
        <v>0</v>
      </c>
      <c r="H32" s="30">
        <v>0</v>
      </c>
      <c r="I32" s="30">
        <v>0</v>
      </c>
      <c r="J32" s="30">
        <v>1</v>
      </c>
      <c r="K32" s="30">
        <v>0</v>
      </c>
      <c r="L32" s="30">
        <v>0</v>
      </c>
      <c r="AG32" s="35" t="s">
        <v>42</v>
      </c>
      <c r="AH32" s="35">
        <v>1.3401909999999999</v>
      </c>
      <c r="AI32" s="35">
        <v>0.40200000000000002</v>
      </c>
    </row>
    <row r="33" spans="1:35" x14ac:dyDescent="0.4">
      <c r="A33" s="30">
        <v>37</v>
      </c>
      <c r="B33" s="30">
        <v>1</v>
      </c>
      <c r="C33" s="30">
        <v>0.57799999999999996</v>
      </c>
      <c r="D33" s="30">
        <v>3.48E-3</v>
      </c>
      <c r="E33" s="30">
        <v>120</v>
      </c>
      <c r="F33" s="30">
        <v>227</v>
      </c>
      <c r="G33" s="30">
        <v>0</v>
      </c>
      <c r="H33" s="30">
        <v>0</v>
      </c>
      <c r="I33" s="30">
        <v>0</v>
      </c>
      <c r="J33" s="30">
        <v>0</v>
      </c>
      <c r="K33" s="30">
        <v>0</v>
      </c>
      <c r="L33" s="30">
        <v>0</v>
      </c>
      <c r="AG33" s="35" t="s">
        <v>1952</v>
      </c>
      <c r="AH33" s="35">
        <v>1.525957</v>
      </c>
      <c r="AI33" s="35">
        <v>0.40200000000000002</v>
      </c>
    </row>
    <row r="34" spans="1:35" ht="16.5" thickBot="1" x14ac:dyDescent="0.45">
      <c r="A34" s="30">
        <v>53</v>
      </c>
      <c r="B34" s="30">
        <v>1</v>
      </c>
      <c r="C34" s="30">
        <v>0.93500000000000005</v>
      </c>
      <c r="D34" s="30">
        <v>0.315</v>
      </c>
      <c r="E34" s="30">
        <v>128</v>
      </c>
      <c r="F34" s="30">
        <v>143</v>
      </c>
      <c r="G34" s="30">
        <v>0</v>
      </c>
      <c r="H34" s="30">
        <v>0</v>
      </c>
      <c r="I34" s="30">
        <v>0</v>
      </c>
      <c r="J34" s="30">
        <v>1</v>
      </c>
      <c r="K34" s="30">
        <v>0</v>
      </c>
      <c r="L34" s="30">
        <v>0</v>
      </c>
      <c r="AG34" s="35" t="s">
        <v>1953</v>
      </c>
      <c r="AH34" s="35">
        <v>1.6718999999999999</v>
      </c>
      <c r="AI34" s="35">
        <v>0.40200000000000002</v>
      </c>
    </row>
    <row r="35" spans="1:35" ht="16.5" thickBot="1" x14ac:dyDescent="0.45">
      <c r="A35" s="30">
        <v>52</v>
      </c>
      <c r="B35" s="30">
        <v>19</v>
      </c>
      <c r="C35" s="30">
        <v>0.94799999999999995</v>
      </c>
      <c r="D35" s="30">
        <v>9.2400000000000002E-4</v>
      </c>
      <c r="E35" s="30">
        <v>100</v>
      </c>
      <c r="F35" s="30">
        <v>259</v>
      </c>
      <c r="G35" s="30">
        <v>0</v>
      </c>
      <c r="H35" s="30">
        <v>0</v>
      </c>
      <c r="I35" s="30">
        <v>0</v>
      </c>
      <c r="J35" s="30">
        <v>1</v>
      </c>
      <c r="K35" s="30">
        <v>0</v>
      </c>
      <c r="L35" s="30">
        <v>0</v>
      </c>
      <c r="P35" s="33" t="s">
        <v>1966</v>
      </c>
      <c r="Q35" s="39" t="s">
        <v>1963</v>
      </c>
      <c r="R35" s="40" t="s">
        <v>1964</v>
      </c>
      <c r="AG35" s="35" t="s">
        <v>1954</v>
      </c>
      <c r="AH35" s="35">
        <v>1.690126</v>
      </c>
      <c r="AI35" s="35">
        <v>0.40200000000000002</v>
      </c>
    </row>
    <row r="36" spans="1:35" x14ac:dyDescent="0.4">
      <c r="A36" s="30">
        <v>16</v>
      </c>
      <c r="B36" s="30">
        <v>1</v>
      </c>
      <c r="C36" s="30">
        <v>0.69099999999999995</v>
      </c>
      <c r="D36" s="30">
        <v>0.32200000000000001</v>
      </c>
      <c r="E36" s="30">
        <v>154</v>
      </c>
      <c r="F36" s="30">
        <v>218</v>
      </c>
      <c r="G36" s="30">
        <v>1</v>
      </c>
      <c r="H36" s="30">
        <v>0</v>
      </c>
      <c r="I36" s="30">
        <v>0</v>
      </c>
      <c r="J36" s="30">
        <v>0</v>
      </c>
      <c r="K36" s="30">
        <v>0</v>
      </c>
      <c r="L36" s="30">
        <v>0</v>
      </c>
      <c r="P36" s="33" t="s">
        <v>1965</v>
      </c>
      <c r="Q36" s="33">
        <v>94.063704000000001</v>
      </c>
      <c r="R36" s="34">
        <v>0.40200000000000002</v>
      </c>
      <c r="AG36" s="35" t="s">
        <v>1955</v>
      </c>
      <c r="AH36" s="35">
        <v>1.625272</v>
      </c>
      <c r="AI36" s="35">
        <v>0.40200000000000002</v>
      </c>
    </row>
    <row r="37" spans="1:35" x14ac:dyDescent="0.4">
      <c r="A37" s="30">
        <v>20</v>
      </c>
      <c r="B37" s="30">
        <v>1</v>
      </c>
      <c r="C37" s="30">
        <v>0.58899999999999997</v>
      </c>
      <c r="D37" s="30">
        <v>0.24299999999999999</v>
      </c>
      <c r="E37" s="30">
        <v>97</v>
      </c>
      <c r="F37" s="30">
        <v>292</v>
      </c>
      <c r="G37" s="30">
        <v>0</v>
      </c>
      <c r="H37" s="30">
        <v>0</v>
      </c>
      <c r="I37" s="30">
        <v>1</v>
      </c>
      <c r="J37" s="30">
        <v>0</v>
      </c>
      <c r="K37" s="30">
        <v>0</v>
      </c>
      <c r="L37" s="30">
        <v>0</v>
      </c>
      <c r="P37" s="37" t="s">
        <v>22</v>
      </c>
      <c r="Q37" s="37">
        <v>1.8623179999999999</v>
      </c>
      <c r="R37" s="35">
        <v>0.40200000000000002</v>
      </c>
      <c r="AG37" s="35" t="s">
        <v>1956</v>
      </c>
      <c r="AH37" s="35">
        <v>3.0369579999999998</v>
      </c>
      <c r="AI37" s="35">
        <v>0.40200000000000002</v>
      </c>
    </row>
    <row r="38" spans="1:35" ht="16.5" thickBot="1" x14ac:dyDescent="0.45">
      <c r="A38" s="30">
        <v>59</v>
      </c>
      <c r="B38" s="30">
        <v>50</v>
      </c>
      <c r="C38" s="30">
        <v>0.48399999999999999</v>
      </c>
      <c r="D38" s="30">
        <v>0.79500000000000004</v>
      </c>
      <c r="E38" s="30">
        <v>141</v>
      </c>
      <c r="F38" s="30">
        <v>201</v>
      </c>
      <c r="G38" s="30">
        <v>0</v>
      </c>
      <c r="H38" s="30">
        <v>0</v>
      </c>
      <c r="I38" s="30">
        <v>1</v>
      </c>
      <c r="J38" s="30">
        <v>0</v>
      </c>
      <c r="K38" s="30">
        <v>0</v>
      </c>
      <c r="L38" s="30">
        <v>0</v>
      </c>
      <c r="P38" s="37" t="s">
        <v>27</v>
      </c>
      <c r="Q38" s="37">
        <v>1.563347</v>
      </c>
      <c r="R38" s="35">
        <v>0.40200000000000002</v>
      </c>
      <c r="AG38" s="36" t="s">
        <v>1957</v>
      </c>
      <c r="AH38" s="36">
        <v>1.3155410000000001</v>
      </c>
      <c r="AI38" s="36">
        <v>0.40200000000000002</v>
      </c>
    </row>
    <row r="39" spans="1:35" x14ac:dyDescent="0.4">
      <c r="A39" s="30">
        <v>41</v>
      </c>
      <c r="B39" s="30">
        <v>6</v>
      </c>
      <c r="C39" s="30">
        <v>0.54300000000000004</v>
      </c>
      <c r="D39" s="30">
        <v>6.6299999999999996E-4</v>
      </c>
      <c r="E39" s="30">
        <v>174</v>
      </c>
      <c r="F39" s="30">
        <v>293</v>
      </c>
      <c r="G39" s="30">
        <v>0</v>
      </c>
      <c r="H39" s="30">
        <v>0</v>
      </c>
      <c r="I39" s="30">
        <v>1</v>
      </c>
      <c r="J39" s="30">
        <v>0</v>
      </c>
      <c r="K39" s="30">
        <v>0</v>
      </c>
      <c r="L39" s="30">
        <v>0</v>
      </c>
      <c r="P39" s="37" t="s">
        <v>32</v>
      </c>
      <c r="Q39" s="37">
        <v>1.3293820000000001</v>
      </c>
      <c r="R39" s="35">
        <v>0.40200000000000002</v>
      </c>
    </row>
    <row r="40" spans="1:35" x14ac:dyDescent="0.4">
      <c r="A40" s="30">
        <v>51</v>
      </c>
      <c r="B40" s="30">
        <v>0</v>
      </c>
      <c r="C40" s="30">
        <v>0.61399999999999999</v>
      </c>
      <c r="D40" s="30">
        <v>0.45100000000000001</v>
      </c>
      <c r="E40" s="30">
        <v>117</v>
      </c>
      <c r="F40" s="30">
        <v>207</v>
      </c>
      <c r="G40" s="30">
        <v>0</v>
      </c>
      <c r="H40" s="30">
        <v>1</v>
      </c>
      <c r="I40" s="30">
        <v>0</v>
      </c>
      <c r="J40" s="30">
        <v>0</v>
      </c>
      <c r="K40" s="30">
        <v>0</v>
      </c>
      <c r="L40" s="30">
        <v>0</v>
      </c>
      <c r="P40" s="37" t="s">
        <v>40</v>
      </c>
      <c r="Q40" s="37">
        <v>1.1021620000000001</v>
      </c>
      <c r="R40" s="35">
        <v>0.40200000000000002</v>
      </c>
    </row>
    <row r="41" spans="1:35" x14ac:dyDescent="0.4">
      <c r="A41" s="30">
        <v>7</v>
      </c>
      <c r="B41" s="30">
        <v>1</v>
      </c>
      <c r="C41" s="30">
        <v>0.86899999999999999</v>
      </c>
      <c r="D41" s="30">
        <v>3.7400000000000003E-2</v>
      </c>
      <c r="E41" s="30">
        <v>92</v>
      </c>
      <c r="F41" s="30">
        <v>162</v>
      </c>
      <c r="G41" s="30">
        <v>0</v>
      </c>
      <c r="H41" s="30">
        <v>0</v>
      </c>
      <c r="I41" s="30">
        <v>0</v>
      </c>
      <c r="J41" s="30">
        <v>1</v>
      </c>
      <c r="K41" s="30">
        <v>0</v>
      </c>
      <c r="L41" s="30">
        <v>1</v>
      </c>
      <c r="P41" s="37" t="s">
        <v>42</v>
      </c>
      <c r="Q41" s="37">
        <v>1.3401909999999999</v>
      </c>
      <c r="R41" s="35">
        <v>0.40200000000000002</v>
      </c>
    </row>
    <row r="42" spans="1:35" x14ac:dyDescent="0.4">
      <c r="A42" s="30">
        <v>44</v>
      </c>
      <c r="B42" s="30">
        <v>16</v>
      </c>
      <c r="C42" s="30">
        <v>0.434</v>
      </c>
      <c r="D42" s="30">
        <v>6.2200000000000005E-4</v>
      </c>
      <c r="E42" s="30">
        <v>170</v>
      </c>
      <c r="F42" s="30">
        <v>204</v>
      </c>
      <c r="G42" s="30">
        <v>0</v>
      </c>
      <c r="H42" s="30">
        <v>0</v>
      </c>
      <c r="I42" s="30">
        <v>0</v>
      </c>
      <c r="J42" s="30">
        <v>0</v>
      </c>
      <c r="K42" s="30">
        <v>1</v>
      </c>
      <c r="L42" s="30">
        <v>0</v>
      </c>
      <c r="P42" s="37" t="s">
        <v>1952</v>
      </c>
      <c r="Q42" s="37">
        <v>1.525957</v>
      </c>
      <c r="R42" s="35">
        <v>0.40200000000000002</v>
      </c>
    </row>
    <row r="43" spans="1:35" x14ac:dyDescent="0.4">
      <c r="A43" s="30">
        <v>54</v>
      </c>
      <c r="B43" s="30">
        <v>4</v>
      </c>
      <c r="C43" s="30">
        <v>0.67600000000000005</v>
      </c>
      <c r="D43" s="30">
        <v>3.6200000000000002E-4</v>
      </c>
      <c r="E43" s="30">
        <v>130</v>
      </c>
      <c r="F43" s="30">
        <v>214</v>
      </c>
      <c r="G43" s="30">
        <v>0</v>
      </c>
      <c r="H43" s="30">
        <v>0</v>
      </c>
      <c r="I43" s="30">
        <v>1</v>
      </c>
      <c r="J43" s="30">
        <v>0</v>
      </c>
      <c r="K43" s="30">
        <v>0</v>
      </c>
      <c r="L43" s="30">
        <v>0</v>
      </c>
      <c r="P43" s="37" t="s">
        <v>1953</v>
      </c>
      <c r="Q43" s="37">
        <v>1.6718999999999999</v>
      </c>
      <c r="R43" s="35">
        <v>0.40200000000000002</v>
      </c>
    </row>
    <row r="44" spans="1:35" x14ac:dyDescent="0.4">
      <c r="A44" s="30">
        <v>5</v>
      </c>
      <c r="B44" s="30">
        <v>21</v>
      </c>
      <c r="C44" s="30">
        <v>0.70499999999999996</v>
      </c>
      <c r="D44" s="30">
        <v>1.37E-2</v>
      </c>
      <c r="E44" s="30">
        <v>170</v>
      </c>
      <c r="F44" s="30">
        <v>234</v>
      </c>
      <c r="G44" s="30">
        <v>0</v>
      </c>
      <c r="H44" s="30">
        <v>0</v>
      </c>
      <c r="I44" s="30">
        <v>0</v>
      </c>
      <c r="J44" s="30">
        <v>1</v>
      </c>
      <c r="K44" s="30">
        <v>0</v>
      </c>
      <c r="L44" s="30">
        <v>0</v>
      </c>
      <c r="P44" s="37" t="s">
        <v>1954</v>
      </c>
      <c r="Q44" s="37">
        <v>1.690126</v>
      </c>
      <c r="R44" s="35">
        <v>0.40200000000000002</v>
      </c>
    </row>
    <row r="45" spans="1:35" x14ac:dyDescent="0.4">
      <c r="A45" s="30">
        <v>41</v>
      </c>
      <c r="B45" s="30">
        <v>3</v>
      </c>
      <c r="C45" s="30">
        <v>0.64400000000000002</v>
      </c>
      <c r="D45" s="30">
        <v>3.29E-3</v>
      </c>
      <c r="E45" s="30">
        <v>109</v>
      </c>
      <c r="F45" s="30">
        <v>125</v>
      </c>
      <c r="G45" s="30">
        <v>0</v>
      </c>
      <c r="H45" s="30">
        <v>0</v>
      </c>
      <c r="I45" s="30">
        <v>0</v>
      </c>
      <c r="J45" s="30">
        <v>1</v>
      </c>
      <c r="K45" s="30">
        <v>0</v>
      </c>
      <c r="L45" s="30">
        <v>0</v>
      </c>
      <c r="P45" s="37" t="s">
        <v>1955</v>
      </c>
      <c r="Q45" s="37">
        <v>1.625272</v>
      </c>
      <c r="R45" s="35">
        <v>0.40200000000000002</v>
      </c>
    </row>
    <row r="46" spans="1:35" x14ac:dyDescent="0.4">
      <c r="A46" s="30">
        <v>3</v>
      </c>
      <c r="B46" s="30">
        <v>19</v>
      </c>
      <c r="C46" s="30">
        <v>0.28599999999999998</v>
      </c>
      <c r="D46" s="30">
        <v>4.6499999999999999E-5</v>
      </c>
      <c r="E46" s="30">
        <v>87</v>
      </c>
      <c r="F46" s="30">
        <v>364</v>
      </c>
      <c r="G46" s="30">
        <v>0</v>
      </c>
      <c r="H46" s="30">
        <v>0</v>
      </c>
      <c r="I46" s="30">
        <v>0</v>
      </c>
      <c r="J46" s="30">
        <v>1</v>
      </c>
      <c r="K46" s="30">
        <v>0</v>
      </c>
      <c r="L46" s="30">
        <v>0</v>
      </c>
      <c r="P46" s="37" t="s">
        <v>1956</v>
      </c>
      <c r="Q46" s="37">
        <v>3.0369579999999998</v>
      </c>
      <c r="R46" s="35">
        <v>0.40200000000000002</v>
      </c>
    </row>
    <row r="47" spans="1:35" ht="16.5" thickBot="1" x14ac:dyDescent="0.45">
      <c r="A47" s="30">
        <v>37</v>
      </c>
      <c r="B47" s="30">
        <v>6</v>
      </c>
      <c r="C47" s="30">
        <v>0.72599999999999998</v>
      </c>
      <c r="D47" s="30">
        <v>2.1600000000000001E-2</v>
      </c>
      <c r="E47" s="30">
        <v>128</v>
      </c>
      <c r="F47" s="30">
        <v>214</v>
      </c>
      <c r="G47" s="30">
        <v>0</v>
      </c>
      <c r="H47" s="30">
        <v>0</v>
      </c>
      <c r="I47" s="30">
        <v>0</v>
      </c>
      <c r="J47" s="30">
        <v>0</v>
      </c>
      <c r="K47" s="30">
        <v>0</v>
      </c>
      <c r="L47" s="30">
        <v>0</v>
      </c>
      <c r="P47" s="38" t="s">
        <v>1957</v>
      </c>
      <c r="Q47" s="38">
        <v>1.3155410000000001</v>
      </c>
      <c r="R47" s="36">
        <v>0.40200000000000002</v>
      </c>
    </row>
    <row r="48" spans="1:35" x14ac:dyDescent="0.4">
      <c r="A48" s="30">
        <v>54</v>
      </c>
      <c r="B48" s="30">
        <v>0</v>
      </c>
      <c r="C48" s="30">
        <v>0.52100000000000002</v>
      </c>
      <c r="D48" s="30">
        <v>2.47E-3</v>
      </c>
      <c r="E48" s="30">
        <v>126</v>
      </c>
      <c r="F48" s="30">
        <v>220</v>
      </c>
      <c r="G48" s="30">
        <v>0</v>
      </c>
      <c r="H48" s="30">
        <v>0</v>
      </c>
      <c r="I48" s="30">
        <v>0</v>
      </c>
      <c r="J48" s="30">
        <v>0</v>
      </c>
      <c r="K48" s="30">
        <v>0</v>
      </c>
      <c r="L48" s="30">
        <v>0</v>
      </c>
    </row>
    <row r="49" spans="1:12" x14ac:dyDescent="0.4">
      <c r="A49" s="30">
        <v>10</v>
      </c>
      <c r="B49" s="30">
        <v>3</v>
      </c>
      <c r="C49" s="30">
        <v>0.28999999999999998</v>
      </c>
      <c r="D49" s="30">
        <v>1.2800000000000001E-3</v>
      </c>
      <c r="E49" s="30">
        <v>90</v>
      </c>
      <c r="F49" s="30">
        <v>300</v>
      </c>
      <c r="G49" s="30">
        <v>0</v>
      </c>
      <c r="H49" s="30">
        <v>0</v>
      </c>
      <c r="I49" s="30">
        <v>0</v>
      </c>
      <c r="J49" s="30">
        <v>0</v>
      </c>
      <c r="K49" s="30">
        <v>1</v>
      </c>
      <c r="L49" s="30">
        <v>1</v>
      </c>
    </row>
    <row r="50" spans="1:12" x14ac:dyDescent="0.4">
      <c r="A50" s="30">
        <v>41</v>
      </c>
      <c r="B50" s="30">
        <v>1</v>
      </c>
      <c r="C50" s="30">
        <v>0.58099999999999996</v>
      </c>
      <c r="D50" s="30">
        <v>7.4700000000000003E-2</v>
      </c>
      <c r="E50" s="30">
        <v>142</v>
      </c>
      <c r="F50" s="30">
        <v>226</v>
      </c>
      <c r="G50" s="30">
        <v>0</v>
      </c>
      <c r="H50" s="30">
        <v>0</v>
      </c>
      <c r="I50" s="30">
        <v>0</v>
      </c>
      <c r="J50" s="30">
        <v>0</v>
      </c>
      <c r="K50" s="30">
        <v>0</v>
      </c>
      <c r="L50" s="30">
        <v>0</v>
      </c>
    </row>
    <row r="51" spans="1:12" x14ac:dyDescent="0.4">
      <c r="A51" s="30">
        <v>29</v>
      </c>
      <c r="B51" s="30">
        <v>1</v>
      </c>
      <c r="C51" s="30">
        <v>0.16200000000000001</v>
      </c>
      <c r="D51" s="30">
        <v>8.2600000000000002E-5</v>
      </c>
      <c r="E51" s="30">
        <v>180</v>
      </c>
      <c r="F51" s="30">
        <v>318</v>
      </c>
      <c r="G51" s="30">
        <v>0</v>
      </c>
      <c r="H51" s="30">
        <v>0</v>
      </c>
      <c r="I51" s="30">
        <v>0</v>
      </c>
      <c r="J51" s="30">
        <v>0</v>
      </c>
      <c r="K51" s="30">
        <v>1</v>
      </c>
      <c r="L51" s="30">
        <v>0</v>
      </c>
    </row>
    <row r="52" spans="1:12" x14ac:dyDescent="0.4">
      <c r="A52" s="30">
        <v>80</v>
      </c>
      <c r="B52" s="30">
        <v>15</v>
      </c>
      <c r="C52" s="30">
        <v>0.65700000000000003</v>
      </c>
      <c r="D52" s="30">
        <v>0.872</v>
      </c>
      <c r="E52" s="30">
        <v>104</v>
      </c>
      <c r="F52" s="30">
        <v>233</v>
      </c>
      <c r="G52" s="30">
        <v>0</v>
      </c>
      <c r="H52" s="30">
        <v>1</v>
      </c>
      <c r="I52" s="30">
        <v>0</v>
      </c>
      <c r="J52" s="30">
        <v>0</v>
      </c>
      <c r="K52" s="30">
        <v>0</v>
      </c>
      <c r="L52" s="30">
        <v>1</v>
      </c>
    </row>
    <row r="53" spans="1:12" x14ac:dyDescent="0.4">
      <c r="A53" s="30">
        <v>60</v>
      </c>
      <c r="B53" s="30">
        <v>1</v>
      </c>
      <c r="C53" s="30">
        <v>0.623</v>
      </c>
      <c r="D53" s="30">
        <v>0.32400000000000001</v>
      </c>
      <c r="E53" s="30">
        <v>91</v>
      </c>
      <c r="F53" s="30">
        <v>205</v>
      </c>
      <c r="G53" s="30">
        <v>0</v>
      </c>
      <c r="H53" s="30">
        <v>1</v>
      </c>
      <c r="I53" s="30">
        <v>0</v>
      </c>
      <c r="J53" s="30">
        <v>0</v>
      </c>
      <c r="K53" s="30">
        <v>0</v>
      </c>
      <c r="L53" s="30">
        <v>0</v>
      </c>
    </row>
    <row r="54" spans="1:12" x14ac:dyDescent="0.4">
      <c r="A54" s="30">
        <v>17</v>
      </c>
      <c r="B54" s="30">
        <v>4</v>
      </c>
      <c r="C54" s="30">
        <v>0.503</v>
      </c>
      <c r="D54" s="30">
        <v>0.109</v>
      </c>
      <c r="E54" s="30">
        <v>95</v>
      </c>
      <c r="F54" s="30">
        <v>273</v>
      </c>
      <c r="G54" s="30">
        <v>0</v>
      </c>
      <c r="H54" s="30">
        <v>0</v>
      </c>
      <c r="I54" s="30">
        <v>0</v>
      </c>
      <c r="J54" s="30">
        <v>0</v>
      </c>
      <c r="K54" s="30">
        <v>0</v>
      </c>
      <c r="L54" s="30">
        <v>0</v>
      </c>
    </row>
    <row r="55" spans="1:12" x14ac:dyDescent="0.4">
      <c r="A55" s="30">
        <v>36</v>
      </c>
      <c r="B55" s="30">
        <v>1</v>
      </c>
      <c r="C55" s="30">
        <v>0.59299999999999997</v>
      </c>
      <c r="D55" s="30">
        <v>0.628</v>
      </c>
      <c r="E55" s="30">
        <v>167</v>
      </c>
      <c r="F55" s="30">
        <v>203</v>
      </c>
      <c r="G55" s="30">
        <v>0</v>
      </c>
      <c r="H55" s="30">
        <v>0</v>
      </c>
      <c r="I55" s="30">
        <v>0</v>
      </c>
      <c r="J55" s="30">
        <v>0</v>
      </c>
      <c r="K55" s="30">
        <v>1</v>
      </c>
      <c r="L55" s="30">
        <v>1</v>
      </c>
    </row>
    <row r="56" spans="1:12" x14ac:dyDescent="0.4">
      <c r="A56" s="30">
        <v>62</v>
      </c>
      <c r="B56" s="30">
        <v>0</v>
      </c>
      <c r="C56" s="30">
        <v>0.92600000000000005</v>
      </c>
      <c r="D56" s="30">
        <v>0.37</v>
      </c>
      <c r="E56" s="30">
        <v>128</v>
      </c>
      <c r="F56" s="30">
        <v>167</v>
      </c>
      <c r="G56" s="30">
        <v>0</v>
      </c>
      <c r="H56" s="30">
        <v>1</v>
      </c>
      <c r="I56" s="30">
        <v>0</v>
      </c>
      <c r="J56" s="30">
        <v>0</v>
      </c>
      <c r="K56" s="30">
        <v>0</v>
      </c>
      <c r="L56" s="30">
        <v>1</v>
      </c>
    </row>
    <row r="57" spans="1:12" x14ac:dyDescent="0.4">
      <c r="A57" s="30">
        <v>47</v>
      </c>
      <c r="B57" s="30">
        <v>2</v>
      </c>
      <c r="C57" s="30">
        <v>0.91400000000000003</v>
      </c>
      <c r="D57" s="30">
        <v>0.30299999999999999</v>
      </c>
      <c r="E57" s="30">
        <v>88</v>
      </c>
      <c r="F57" s="30">
        <v>109</v>
      </c>
      <c r="G57" s="30">
        <v>0</v>
      </c>
      <c r="H57" s="30">
        <v>0</v>
      </c>
      <c r="I57" s="30">
        <v>0</v>
      </c>
      <c r="J57" s="30">
        <v>1</v>
      </c>
      <c r="K57" s="30">
        <v>0</v>
      </c>
      <c r="L57" s="30">
        <v>1</v>
      </c>
    </row>
    <row r="58" spans="1:12" x14ac:dyDescent="0.4">
      <c r="A58" s="30">
        <v>18</v>
      </c>
      <c r="B58" s="30">
        <v>1</v>
      </c>
      <c r="C58" s="30">
        <v>0.80500000000000005</v>
      </c>
      <c r="D58" s="30">
        <v>0.28100000000000003</v>
      </c>
      <c r="E58" s="30">
        <v>108</v>
      </c>
      <c r="F58" s="30">
        <v>172</v>
      </c>
      <c r="G58" s="30">
        <v>0</v>
      </c>
      <c r="H58" s="30">
        <v>0</v>
      </c>
      <c r="I58" s="30">
        <v>1</v>
      </c>
      <c r="J58" s="30">
        <v>0</v>
      </c>
      <c r="K58" s="30">
        <v>0</v>
      </c>
      <c r="L58" s="30">
        <v>0</v>
      </c>
    </row>
    <row r="59" spans="1:12" x14ac:dyDescent="0.4">
      <c r="A59" s="30">
        <v>53</v>
      </c>
      <c r="B59" s="30">
        <v>1</v>
      </c>
      <c r="C59" s="30">
        <v>0.84599999999999997</v>
      </c>
      <c r="D59" s="30">
        <v>0.56699999999999995</v>
      </c>
      <c r="E59" s="30">
        <v>103</v>
      </c>
      <c r="F59" s="30">
        <v>197</v>
      </c>
      <c r="G59" s="30">
        <v>1</v>
      </c>
      <c r="H59" s="30">
        <v>0</v>
      </c>
      <c r="I59" s="30">
        <v>0</v>
      </c>
      <c r="J59" s="30">
        <v>0</v>
      </c>
      <c r="K59" s="30">
        <v>0</v>
      </c>
      <c r="L59" s="30">
        <v>0</v>
      </c>
    </row>
    <row r="60" spans="1:12" x14ac:dyDescent="0.4">
      <c r="A60" s="30">
        <v>52</v>
      </c>
      <c r="B60" s="30">
        <v>3</v>
      </c>
      <c r="C60" s="30">
        <v>0.436</v>
      </c>
      <c r="D60" s="30">
        <v>9.1400000000000006E-3</v>
      </c>
      <c r="E60" s="30">
        <v>94</v>
      </c>
      <c r="F60" s="30">
        <v>506</v>
      </c>
      <c r="G60" s="30">
        <v>0</v>
      </c>
      <c r="H60" s="30">
        <v>0</v>
      </c>
      <c r="I60" s="30">
        <v>1</v>
      </c>
      <c r="J60" s="30">
        <v>0</v>
      </c>
      <c r="K60" s="30">
        <v>0</v>
      </c>
      <c r="L60" s="30">
        <v>0</v>
      </c>
    </row>
    <row r="61" spans="1:12" x14ac:dyDescent="0.4">
      <c r="A61" s="30">
        <v>59</v>
      </c>
      <c r="B61" s="30">
        <v>4</v>
      </c>
      <c r="C61" s="30">
        <v>0.34200000000000003</v>
      </c>
      <c r="D61" s="30">
        <v>0.185</v>
      </c>
      <c r="E61" s="30">
        <v>83</v>
      </c>
      <c r="F61" s="30">
        <v>262</v>
      </c>
      <c r="G61" s="30">
        <v>0</v>
      </c>
      <c r="H61" s="30">
        <v>1</v>
      </c>
      <c r="I61" s="30">
        <v>0</v>
      </c>
      <c r="J61" s="30">
        <v>0</v>
      </c>
      <c r="K61" s="30">
        <v>0</v>
      </c>
      <c r="L61" s="30">
        <v>0</v>
      </c>
    </row>
    <row r="62" spans="1:12" x14ac:dyDescent="0.4">
      <c r="A62" s="30">
        <v>66</v>
      </c>
      <c r="B62" s="30">
        <v>5</v>
      </c>
      <c r="C62" s="30">
        <v>0.68500000000000005</v>
      </c>
      <c r="D62" s="30">
        <v>0.437</v>
      </c>
      <c r="E62" s="30">
        <v>128</v>
      </c>
      <c r="F62" s="30">
        <v>230</v>
      </c>
      <c r="G62" s="30">
        <v>0</v>
      </c>
      <c r="H62" s="30">
        <v>1</v>
      </c>
      <c r="I62" s="30">
        <v>0</v>
      </c>
      <c r="J62" s="30">
        <v>0</v>
      </c>
      <c r="K62" s="30">
        <v>0</v>
      </c>
      <c r="L62" s="30">
        <v>0</v>
      </c>
    </row>
    <row r="63" spans="1:12" x14ac:dyDescent="0.4">
      <c r="A63" s="30">
        <v>46</v>
      </c>
      <c r="B63" s="30">
        <v>2</v>
      </c>
      <c r="C63" s="30">
        <v>0.71899999999999997</v>
      </c>
      <c r="D63" s="30">
        <v>0.37</v>
      </c>
      <c r="E63" s="30">
        <v>84</v>
      </c>
      <c r="F63" s="30">
        <v>134</v>
      </c>
      <c r="G63" s="30">
        <v>0</v>
      </c>
      <c r="H63" s="30">
        <v>0</v>
      </c>
      <c r="I63" s="30">
        <v>0</v>
      </c>
      <c r="J63" s="30">
        <v>1</v>
      </c>
      <c r="K63" s="30">
        <v>0</v>
      </c>
      <c r="L63" s="30">
        <v>0</v>
      </c>
    </row>
    <row r="64" spans="1:12" x14ac:dyDescent="0.4">
      <c r="A64" s="30">
        <v>63</v>
      </c>
      <c r="B64" s="30">
        <v>4</v>
      </c>
      <c r="C64" s="30">
        <v>0.77500000000000002</v>
      </c>
      <c r="D64" s="30">
        <v>5.67E-2</v>
      </c>
      <c r="E64" s="30">
        <v>93</v>
      </c>
      <c r="F64" s="30">
        <v>196</v>
      </c>
      <c r="G64" s="30">
        <v>1</v>
      </c>
      <c r="H64" s="30">
        <v>0</v>
      </c>
      <c r="I64" s="30">
        <v>0</v>
      </c>
      <c r="J64" s="30">
        <v>0</v>
      </c>
      <c r="K64" s="30">
        <v>0</v>
      </c>
      <c r="L64" s="30">
        <v>0</v>
      </c>
    </row>
    <row r="65" spans="1:12" x14ac:dyDescent="0.4">
      <c r="A65" s="30">
        <v>67</v>
      </c>
      <c r="B65" s="30">
        <v>18</v>
      </c>
      <c r="C65" s="30">
        <v>0.48599999999999999</v>
      </c>
      <c r="D65" s="30">
        <v>0.29199999999999998</v>
      </c>
      <c r="E65" s="30">
        <v>84</v>
      </c>
      <c r="F65" s="30">
        <v>238</v>
      </c>
      <c r="G65" s="30">
        <v>1</v>
      </c>
      <c r="H65" s="30">
        <v>0</v>
      </c>
      <c r="I65" s="30">
        <v>0</v>
      </c>
      <c r="J65" s="30">
        <v>0</v>
      </c>
      <c r="K65" s="30">
        <v>0</v>
      </c>
      <c r="L65" s="30">
        <v>0</v>
      </c>
    </row>
    <row r="66" spans="1:12" x14ac:dyDescent="0.4">
      <c r="A66" s="30">
        <v>63</v>
      </c>
      <c r="B66" s="30">
        <v>32</v>
      </c>
      <c r="C66" s="30">
        <v>0.52900000000000003</v>
      </c>
      <c r="D66" s="30">
        <v>1.2600000000000001E-3</v>
      </c>
      <c r="E66" s="30">
        <v>142</v>
      </c>
      <c r="F66" s="30">
        <v>236</v>
      </c>
      <c r="G66" s="30">
        <v>0</v>
      </c>
      <c r="H66" s="30">
        <v>0</v>
      </c>
      <c r="I66" s="30">
        <v>0</v>
      </c>
      <c r="J66" s="30">
        <v>0</v>
      </c>
      <c r="K66" s="30">
        <v>1</v>
      </c>
      <c r="L66" s="30">
        <v>0</v>
      </c>
    </row>
    <row r="67" spans="1:12" x14ac:dyDescent="0.4">
      <c r="A67" s="30">
        <v>5</v>
      </c>
      <c r="B67" s="30">
        <v>4</v>
      </c>
      <c r="C67" s="30">
        <v>0.83199999999999996</v>
      </c>
      <c r="D67" s="30">
        <v>9.9699999999999997E-3</v>
      </c>
      <c r="E67" s="30">
        <v>118</v>
      </c>
      <c r="F67" s="30">
        <v>257</v>
      </c>
      <c r="G67" s="30">
        <v>0</v>
      </c>
      <c r="H67" s="30">
        <v>0</v>
      </c>
      <c r="I67" s="30">
        <v>0</v>
      </c>
      <c r="J67" s="30">
        <v>0</v>
      </c>
      <c r="K67" s="30">
        <v>0</v>
      </c>
      <c r="L67" s="30">
        <v>0</v>
      </c>
    </row>
    <row r="68" spans="1:12" x14ac:dyDescent="0.4">
      <c r="A68" s="30">
        <v>58</v>
      </c>
      <c r="B68" s="30">
        <v>3</v>
      </c>
      <c r="C68" s="30">
        <v>0.85</v>
      </c>
      <c r="D68" s="30">
        <v>0.23100000000000001</v>
      </c>
      <c r="E68" s="30">
        <v>148</v>
      </c>
      <c r="F68" s="30">
        <v>221</v>
      </c>
      <c r="G68" s="30">
        <v>1</v>
      </c>
      <c r="H68" s="30">
        <v>0</v>
      </c>
      <c r="I68" s="30">
        <v>0</v>
      </c>
      <c r="J68" s="30">
        <v>0</v>
      </c>
      <c r="K68" s="30">
        <v>0</v>
      </c>
      <c r="L68" s="30">
        <v>0</v>
      </c>
    </row>
    <row r="69" spans="1:12" x14ac:dyDescent="0.4">
      <c r="A69" s="30">
        <v>2</v>
      </c>
      <c r="B69" s="30">
        <v>30</v>
      </c>
      <c r="C69" s="30">
        <v>0.73599999999999999</v>
      </c>
      <c r="D69" s="30">
        <v>6.6E-3</v>
      </c>
      <c r="E69" s="30">
        <v>107</v>
      </c>
      <c r="F69" s="30">
        <v>282</v>
      </c>
      <c r="G69" s="30">
        <v>0</v>
      </c>
      <c r="H69" s="30">
        <v>0</v>
      </c>
      <c r="I69" s="30">
        <v>1</v>
      </c>
      <c r="J69" s="30">
        <v>0</v>
      </c>
      <c r="K69" s="30">
        <v>0</v>
      </c>
      <c r="L69" s="30">
        <v>1</v>
      </c>
    </row>
    <row r="70" spans="1:12" x14ac:dyDescent="0.4">
      <c r="A70" s="30">
        <v>61</v>
      </c>
      <c r="B70" s="30">
        <v>4</v>
      </c>
      <c r="C70" s="30">
        <v>0.75800000000000001</v>
      </c>
      <c r="D70" s="30">
        <v>0.35699999999999998</v>
      </c>
      <c r="E70" s="30">
        <v>120</v>
      </c>
      <c r="F70" s="30">
        <v>292</v>
      </c>
      <c r="G70" s="30">
        <v>0</v>
      </c>
      <c r="H70" s="30">
        <v>0</v>
      </c>
      <c r="I70" s="30">
        <v>0</v>
      </c>
      <c r="J70" s="30">
        <v>0</v>
      </c>
      <c r="K70" s="30">
        <v>0</v>
      </c>
      <c r="L70" s="30">
        <v>1</v>
      </c>
    </row>
    <row r="71" spans="1:12" x14ac:dyDescent="0.4">
      <c r="A71" s="30">
        <v>72</v>
      </c>
      <c r="B71" s="30">
        <v>27</v>
      </c>
      <c r="C71" s="30">
        <v>0.54900000000000004</v>
      </c>
      <c r="D71" s="30">
        <v>2.8500000000000001E-2</v>
      </c>
      <c r="E71" s="30">
        <v>95</v>
      </c>
      <c r="F71" s="30">
        <v>211</v>
      </c>
      <c r="G71" s="30">
        <v>0</v>
      </c>
      <c r="H71" s="30">
        <v>0</v>
      </c>
      <c r="I71" s="30">
        <v>0</v>
      </c>
      <c r="J71" s="30">
        <v>1</v>
      </c>
      <c r="K71" s="30">
        <v>0</v>
      </c>
      <c r="L71" s="30">
        <v>0</v>
      </c>
    </row>
    <row r="72" spans="1:12" x14ac:dyDescent="0.4">
      <c r="A72" s="30">
        <v>77</v>
      </c>
      <c r="B72" s="30">
        <v>1</v>
      </c>
      <c r="C72" s="30">
        <v>0.53200000000000003</v>
      </c>
      <c r="D72" s="30">
        <v>0.105</v>
      </c>
      <c r="E72" s="30">
        <v>130</v>
      </c>
      <c r="F72" s="30">
        <v>189</v>
      </c>
      <c r="G72" s="30">
        <v>0</v>
      </c>
      <c r="H72" s="30">
        <v>1</v>
      </c>
      <c r="I72" s="30">
        <v>0</v>
      </c>
      <c r="J72" s="30">
        <v>0</v>
      </c>
      <c r="K72" s="30">
        <v>0</v>
      </c>
      <c r="L72" s="30">
        <v>0</v>
      </c>
    </row>
    <row r="73" spans="1:12" x14ac:dyDescent="0.4">
      <c r="A73" s="30">
        <v>38</v>
      </c>
      <c r="B73" s="30">
        <v>34</v>
      </c>
      <c r="C73" s="30">
        <v>0.69099999999999995</v>
      </c>
      <c r="D73" s="30">
        <v>1.9300000000000001E-2</v>
      </c>
      <c r="E73" s="30">
        <v>109</v>
      </c>
      <c r="F73" s="30">
        <v>266</v>
      </c>
      <c r="G73" s="30">
        <v>1</v>
      </c>
      <c r="H73" s="30">
        <v>0</v>
      </c>
      <c r="I73" s="30">
        <v>0</v>
      </c>
      <c r="J73" s="30">
        <v>0</v>
      </c>
      <c r="K73" s="30">
        <v>0</v>
      </c>
      <c r="L73" s="30">
        <v>0</v>
      </c>
    </row>
    <row r="74" spans="1:12" x14ac:dyDescent="0.4">
      <c r="A74" s="30">
        <v>33</v>
      </c>
      <c r="B74" s="30">
        <v>1</v>
      </c>
      <c r="C74" s="30">
        <v>0.68799999999999994</v>
      </c>
      <c r="D74" s="30">
        <v>0.83899999999999997</v>
      </c>
      <c r="E74" s="30">
        <v>116</v>
      </c>
      <c r="F74" s="30">
        <v>228</v>
      </c>
      <c r="G74" s="30">
        <v>0</v>
      </c>
      <c r="H74" s="30">
        <v>0</v>
      </c>
      <c r="I74" s="30">
        <v>0</v>
      </c>
      <c r="J74" s="30">
        <v>0</v>
      </c>
      <c r="K74" s="30">
        <v>0</v>
      </c>
      <c r="L74" s="30">
        <v>1</v>
      </c>
    </row>
    <row r="75" spans="1:12" x14ac:dyDescent="0.4">
      <c r="A75" s="30">
        <v>9</v>
      </c>
      <c r="B75" s="30">
        <v>4</v>
      </c>
      <c r="C75" s="30">
        <v>0.64500000000000002</v>
      </c>
      <c r="D75" s="30">
        <v>0.28999999999999998</v>
      </c>
      <c r="E75" s="30">
        <v>105</v>
      </c>
      <c r="F75" s="30">
        <v>205</v>
      </c>
      <c r="G75" s="30">
        <v>1</v>
      </c>
      <c r="H75" s="30">
        <v>0</v>
      </c>
      <c r="I75" s="30">
        <v>0</v>
      </c>
      <c r="J75" s="30">
        <v>0</v>
      </c>
      <c r="K75" s="30">
        <v>0</v>
      </c>
      <c r="L75" s="30">
        <v>0</v>
      </c>
    </row>
    <row r="76" spans="1:12" x14ac:dyDescent="0.4">
      <c r="A76" s="30">
        <v>31</v>
      </c>
      <c r="B76" s="30">
        <v>16</v>
      </c>
      <c r="C76" s="30">
        <v>0.45600000000000002</v>
      </c>
      <c r="D76" s="30">
        <v>0.252</v>
      </c>
      <c r="E76" s="30">
        <v>95</v>
      </c>
      <c r="F76" s="30">
        <v>263</v>
      </c>
      <c r="G76" s="30">
        <v>0</v>
      </c>
      <c r="H76" s="30">
        <v>0</v>
      </c>
      <c r="I76" s="30">
        <v>0</v>
      </c>
      <c r="J76" s="30">
        <v>0</v>
      </c>
      <c r="K76" s="30">
        <v>1</v>
      </c>
      <c r="L76" s="30">
        <v>0</v>
      </c>
    </row>
    <row r="77" spans="1:12" x14ac:dyDescent="0.4">
      <c r="A77" s="30">
        <v>13</v>
      </c>
      <c r="B77" s="30">
        <v>4</v>
      </c>
      <c r="C77" s="30">
        <v>0.80300000000000005</v>
      </c>
      <c r="D77" s="30">
        <v>0.10199999999999999</v>
      </c>
      <c r="E77" s="30">
        <v>105</v>
      </c>
      <c r="F77" s="30">
        <v>217</v>
      </c>
      <c r="G77" s="30">
        <v>0</v>
      </c>
      <c r="H77" s="30">
        <v>1</v>
      </c>
      <c r="I77" s="30">
        <v>0</v>
      </c>
      <c r="J77" s="30">
        <v>0</v>
      </c>
      <c r="K77" s="30">
        <v>0</v>
      </c>
      <c r="L77" s="30">
        <v>0</v>
      </c>
    </row>
    <row r="78" spans="1:12" x14ac:dyDescent="0.4">
      <c r="A78" s="30">
        <v>6</v>
      </c>
      <c r="B78" s="30">
        <v>48</v>
      </c>
      <c r="C78" s="30">
        <v>0.27600000000000002</v>
      </c>
      <c r="D78" s="30">
        <v>0.79500000000000004</v>
      </c>
      <c r="E78" s="30">
        <v>84</v>
      </c>
      <c r="F78" s="30">
        <v>293</v>
      </c>
      <c r="G78" s="30">
        <v>0</v>
      </c>
      <c r="H78" s="30">
        <v>0</v>
      </c>
      <c r="I78" s="30">
        <v>0</v>
      </c>
      <c r="J78" s="30">
        <v>0</v>
      </c>
      <c r="K78" s="30">
        <v>1</v>
      </c>
      <c r="L78" s="30">
        <v>1</v>
      </c>
    </row>
    <row r="79" spans="1:12" x14ac:dyDescent="0.4">
      <c r="A79" s="30">
        <v>62</v>
      </c>
      <c r="B79" s="30">
        <v>1</v>
      </c>
      <c r="C79" s="30">
        <v>0.57699999999999996</v>
      </c>
      <c r="D79" s="30">
        <v>4.9099999999999998E-2</v>
      </c>
      <c r="E79" s="30">
        <v>79</v>
      </c>
      <c r="F79" s="30">
        <v>198</v>
      </c>
      <c r="G79" s="30">
        <v>0</v>
      </c>
      <c r="H79" s="30">
        <v>1</v>
      </c>
      <c r="I79" s="30">
        <v>0</v>
      </c>
      <c r="J79" s="30">
        <v>0</v>
      </c>
      <c r="K79" s="30">
        <v>0</v>
      </c>
      <c r="L79" s="30">
        <v>0</v>
      </c>
    </row>
    <row r="80" spans="1:12" x14ac:dyDescent="0.4">
      <c r="A80" s="30">
        <v>38</v>
      </c>
      <c r="B80" s="30">
        <v>2</v>
      </c>
      <c r="C80" s="30">
        <v>0.376</v>
      </c>
      <c r="D80" s="30">
        <v>0.39700000000000002</v>
      </c>
      <c r="E80" s="30">
        <v>95</v>
      </c>
      <c r="F80" s="30">
        <v>211</v>
      </c>
      <c r="G80" s="30">
        <v>0</v>
      </c>
      <c r="H80" s="30">
        <v>1</v>
      </c>
      <c r="I80" s="30">
        <v>0</v>
      </c>
      <c r="J80" s="30">
        <v>0</v>
      </c>
      <c r="K80" s="30">
        <v>0</v>
      </c>
      <c r="L80" s="30">
        <v>0</v>
      </c>
    </row>
    <row r="81" spans="1:12" x14ac:dyDescent="0.4">
      <c r="A81" s="30">
        <v>51</v>
      </c>
      <c r="B81" s="30">
        <v>6</v>
      </c>
      <c r="C81" s="30">
        <v>0.65200000000000002</v>
      </c>
      <c r="D81" s="30">
        <v>2.0899999999999998E-3</v>
      </c>
      <c r="E81" s="30">
        <v>128</v>
      </c>
      <c r="F81" s="30">
        <v>313</v>
      </c>
      <c r="G81" s="30">
        <v>0</v>
      </c>
      <c r="H81" s="30">
        <v>0</v>
      </c>
      <c r="I81" s="30">
        <v>0</v>
      </c>
      <c r="J81" s="30">
        <v>0</v>
      </c>
      <c r="K81" s="30">
        <v>0</v>
      </c>
      <c r="L81" s="30">
        <v>0</v>
      </c>
    </row>
    <row r="82" spans="1:12" x14ac:dyDescent="0.4">
      <c r="A82" s="30">
        <v>18</v>
      </c>
      <c r="B82" s="30">
        <v>7</v>
      </c>
      <c r="C82" s="30">
        <v>0.41599999999999998</v>
      </c>
      <c r="D82" s="30">
        <v>6.3200000000000006E-2</v>
      </c>
      <c r="E82" s="30">
        <v>128</v>
      </c>
      <c r="F82" s="30">
        <v>258</v>
      </c>
      <c r="G82" s="30">
        <v>0</v>
      </c>
      <c r="H82" s="30">
        <v>0</v>
      </c>
      <c r="I82" s="30">
        <v>0</v>
      </c>
      <c r="J82" s="30">
        <v>0</v>
      </c>
      <c r="K82" s="30">
        <v>0</v>
      </c>
      <c r="L82" s="30">
        <v>0</v>
      </c>
    </row>
    <row r="83" spans="1:12" x14ac:dyDescent="0.4">
      <c r="A83" s="30">
        <v>61</v>
      </c>
      <c r="B83" s="30">
        <v>48</v>
      </c>
      <c r="C83" s="30">
        <v>0.45800000000000002</v>
      </c>
      <c r="D83" s="30">
        <v>0.442</v>
      </c>
      <c r="E83" s="30">
        <v>122</v>
      </c>
      <c r="F83" s="30">
        <v>221</v>
      </c>
      <c r="G83" s="30">
        <v>0</v>
      </c>
      <c r="H83" s="30">
        <v>0</v>
      </c>
      <c r="I83" s="30">
        <v>0</v>
      </c>
      <c r="J83" s="30">
        <v>0</v>
      </c>
      <c r="K83" s="30">
        <v>1</v>
      </c>
      <c r="L83" s="30">
        <v>0</v>
      </c>
    </row>
    <row r="84" spans="1:12" x14ac:dyDescent="0.4">
      <c r="A84" s="30">
        <v>12</v>
      </c>
      <c r="B84" s="30">
        <v>1</v>
      </c>
      <c r="C84" s="30">
        <v>0.66500000000000004</v>
      </c>
      <c r="D84" s="30">
        <v>0.66500000000000004</v>
      </c>
      <c r="E84" s="30">
        <v>78</v>
      </c>
      <c r="F84" s="30">
        <v>185</v>
      </c>
      <c r="G84" s="30">
        <v>0</v>
      </c>
      <c r="H84" s="30">
        <v>0</v>
      </c>
      <c r="I84" s="30">
        <v>1</v>
      </c>
      <c r="J84" s="30">
        <v>0</v>
      </c>
      <c r="K84" s="30">
        <v>0</v>
      </c>
      <c r="L84" s="30">
        <v>1</v>
      </c>
    </row>
    <row r="85" spans="1:12" x14ac:dyDescent="0.4">
      <c r="A85" s="30">
        <v>43</v>
      </c>
      <c r="B85" s="30">
        <v>1</v>
      </c>
      <c r="C85" s="30">
        <v>0.79700000000000004</v>
      </c>
      <c r="D85" s="30">
        <v>7.6999999999999999E-2</v>
      </c>
      <c r="E85" s="30">
        <v>124</v>
      </c>
      <c r="F85" s="30">
        <v>182</v>
      </c>
      <c r="G85" s="30">
        <v>0</v>
      </c>
      <c r="H85" s="30">
        <v>0</v>
      </c>
      <c r="I85" s="30">
        <v>0</v>
      </c>
      <c r="J85" s="30">
        <v>0</v>
      </c>
      <c r="K85" s="30">
        <v>0</v>
      </c>
      <c r="L85" s="30">
        <v>0</v>
      </c>
    </row>
    <row r="86" spans="1:12" x14ac:dyDescent="0.4">
      <c r="A86" s="30">
        <v>54</v>
      </c>
      <c r="B86" s="30">
        <v>14</v>
      </c>
      <c r="C86" s="30">
        <v>0.50900000000000001</v>
      </c>
      <c r="D86" s="30">
        <v>1.89E-3</v>
      </c>
      <c r="E86" s="30">
        <v>117</v>
      </c>
      <c r="F86" s="30">
        <v>265</v>
      </c>
      <c r="G86" s="30">
        <v>0</v>
      </c>
      <c r="H86" s="30">
        <v>0</v>
      </c>
      <c r="I86" s="30">
        <v>0</v>
      </c>
      <c r="J86" s="30">
        <v>0</v>
      </c>
      <c r="K86" s="30">
        <v>1</v>
      </c>
      <c r="L86" s="30">
        <v>0</v>
      </c>
    </row>
    <row r="87" spans="1:12" x14ac:dyDescent="0.4">
      <c r="A87" s="30">
        <v>56</v>
      </c>
      <c r="B87" s="30">
        <v>3</v>
      </c>
      <c r="C87" s="30">
        <v>0.55100000000000005</v>
      </c>
      <c r="D87" s="30">
        <v>0.68100000000000005</v>
      </c>
      <c r="E87" s="30">
        <v>84</v>
      </c>
      <c r="F87" s="30">
        <v>243</v>
      </c>
      <c r="G87" s="30">
        <v>0</v>
      </c>
      <c r="H87" s="30">
        <v>0</v>
      </c>
      <c r="I87" s="30">
        <v>1</v>
      </c>
      <c r="J87" s="30">
        <v>0</v>
      </c>
      <c r="K87" s="30">
        <v>0</v>
      </c>
      <c r="L87" s="30">
        <v>1</v>
      </c>
    </row>
    <row r="88" spans="1:12" x14ac:dyDescent="0.4">
      <c r="A88" s="30">
        <v>12</v>
      </c>
      <c r="B88" s="30">
        <v>1</v>
      </c>
      <c r="C88" s="30">
        <v>0.73899999999999999</v>
      </c>
      <c r="D88" s="30">
        <v>1.4800000000000001E-2</v>
      </c>
      <c r="E88" s="30">
        <v>125</v>
      </c>
      <c r="F88" s="30">
        <v>143</v>
      </c>
      <c r="G88" s="30">
        <v>0</v>
      </c>
      <c r="H88" s="30">
        <v>0</v>
      </c>
      <c r="I88" s="30">
        <v>0</v>
      </c>
      <c r="J88" s="30">
        <v>0</v>
      </c>
      <c r="K88" s="30">
        <v>0</v>
      </c>
      <c r="L88" s="30">
        <v>0</v>
      </c>
    </row>
    <row r="89" spans="1:12" x14ac:dyDescent="0.4">
      <c r="A89" s="30">
        <v>50</v>
      </c>
      <c r="B89" s="30">
        <v>1</v>
      </c>
      <c r="C89" s="30">
        <v>0.54200000000000004</v>
      </c>
      <c r="D89" s="30">
        <v>1.84E-4</v>
      </c>
      <c r="E89" s="30">
        <v>156</v>
      </c>
      <c r="F89" s="30">
        <v>178</v>
      </c>
      <c r="G89" s="30">
        <v>0</v>
      </c>
      <c r="H89" s="30">
        <v>1</v>
      </c>
      <c r="I89" s="30">
        <v>0</v>
      </c>
      <c r="J89" s="30">
        <v>0</v>
      </c>
      <c r="K89" s="30">
        <v>0</v>
      </c>
      <c r="L89" s="30">
        <v>0</v>
      </c>
    </row>
    <row r="90" spans="1:12" x14ac:dyDescent="0.4">
      <c r="A90" s="30">
        <v>43</v>
      </c>
      <c r="B90" s="30">
        <v>15</v>
      </c>
      <c r="C90" s="30">
        <v>0.375</v>
      </c>
      <c r="D90" s="30">
        <v>0.39800000000000002</v>
      </c>
      <c r="E90" s="30">
        <v>112</v>
      </c>
      <c r="F90" s="30">
        <v>271</v>
      </c>
      <c r="G90" s="30">
        <v>1</v>
      </c>
      <c r="H90" s="30">
        <v>0</v>
      </c>
      <c r="I90" s="30">
        <v>0</v>
      </c>
      <c r="J90" s="30">
        <v>0</v>
      </c>
      <c r="K90" s="30">
        <v>0</v>
      </c>
      <c r="L90" s="30">
        <v>0</v>
      </c>
    </row>
    <row r="91" spans="1:12" x14ac:dyDescent="0.4">
      <c r="A91" s="30">
        <v>29</v>
      </c>
      <c r="B91" s="30">
        <v>1</v>
      </c>
      <c r="C91" s="30">
        <v>0.73299999999999998</v>
      </c>
      <c r="D91" s="30">
        <v>4.1000000000000002E-2</v>
      </c>
      <c r="E91" s="30">
        <v>140</v>
      </c>
      <c r="F91" s="30">
        <v>192</v>
      </c>
      <c r="G91" s="30">
        <v>0</v>
      </c>
      <c r="H91" s="30">
        <v>0</v>
      </c>
      <c r="I91" s="30">
        <v>1</v>
      </c>
      <c r="J91" s="30">
        <v>0</v>
      </c>
      <c r="K91" s="30">
        <v>0</v>
      </c>
      <c r="L91" s="30">
        <v>0</v>
      </c>
    </row>
    <row r="92" spans="1:12" x14ac:dyDescent="0.4">
      <c r="A92" s="30">
        <v>55</v>
      </c>
      <c r="B92" s="30">
        <v>12</v>
      </c>
      <c r="C92" s="30">
        <v>0.88700000000000001</v>
      </c>
      <c r="D92" s="30">
        <v>9.3299999999999998E-3</v>
      </c>
      <c r="E92" s="30">
        <v>113</v>
      </c>
      <c r="F92" s="30">
        <v>183</v>
      </c>
      <c r="G92" s="30">
        <v>0</v>
      </c>
      <c r="H92" s="30">
        <v>0</v>
      </c>
      <c r="I92" s="30">
        <v>0</v>
      </c>
      <c r="J92" s="30">
        <v>1</v>
      </c>
      <c r="K92" s="30">
        <v>0</v>
      </c>
      <c r="L92" s="30">
        <v>0</v>
      </c>
    </row>
    <row r="93" spans="1:12" x14ac:dyDescent="0.4">
      <c r="A93" s="30">
        <v>69</v>
      </c>
      <c r="B93" s="30">
        <v>3</v>
      </c>
      <c r="C93" s="30">
        <v>0.57499999999999996</v>
      </c>
      <c r="D93" s="30">
        <v>9.8799999999999999E-2</v>
      </c>
      <c r="E93" s="30">
        <v>96</v>
      </c>
      <c r="F93" s="30">
        <v>204</v>
      </c>
      <c r="G93" s="30">
        <v>1</v>
      </c>
      <c r="H93" s="30">
        <v>0</v>
      </c>
      <c r="I93" s="30">
        <v>0</v>
      </c>
      <c r="J93" s="30">
        <v>0</v>
      </c>
      <c r="K93" s="30">
        <v>0</v>
      </c>
      <c r="L93" s="30">
        <v>1</v>
      </c>
    </row>
    <row r="94" spans="1:12" x14ac:dyDescent="0.4">
      <c r="A94" s="30">
        <v>63</v>
      </c>
      <c r="B94" s="30">
        <v>13</v>
      </c>
      <c r="C94" s="30">
        <v>0.75800000000000001</v>
      </c>
      <c r="D94" s="30">
        <v>5.28E-2</v>
      </c>
      <c r="E94" s="30">
        <v>98</v>
      </c>
      <c r="F94" s="30">
        <v>171</v>
      </c>
      <c r="G94" s="30">
        <v>1</v>
      </c>
      <c r="H94" s="30">
        <v>0</v>
      </c>
      <c r="I94" s="30">
        <v>0</v>
      </c>
      <c r="J94" s="30">
        <v>0</v>
      </c>
      <c r="K94" s="30">
        <v>0</v>
      </c>
      <c r="L94" s="30">
        <v>0</v>
      </c>
    </row>
    <row r="95" spans="1:12" x14ac:dyDescent="0.4">
      <c r="A95" s="30">
        <v>60</v>
      </c>
      <c r="B95" s="30">
        <v>38</v>
      </c>
      <c r="C95" s="30">
        <v>0.73899999999999999</v>
      </c>
      <c r="D95" s="30">
        <v>0.112</v>
      </c>
      <c r="E95" s="30">
        <v>121</v>
      </c>
      <c r="F95" s="30">
        <v>209</v>
      </c>
      <c r="G95" s="30">
        <v>0</v>
      </c>
      <c r="H95" s="30">
        <v>0</v>
      </c>
      <c r="I95" s="30">
        <v>0</v>
      </c>
      <c r="J95" s="30">
        <v>0</v>
      </c>
      <c r="K95" s="30">
        <v>1</v>
      </c>
      <c r="L95" s="30">
        <v>0</v>
      </c>
    </row>
    <row r="96" spans="1:12" x14ac:dyDescent="0.4">
      <c r="A96" s="30">
        <v>21</v>
      </c>
      <c r="B96" s="30">
        <v>8</v>
      </c>
      <c r="C96" s="30">
        <v>0.39700000000000002</v>
      </c>
      <c r="D96" s="30">
        <v>0.218</v>
      </c>
      <c r="E96" s="30">
        <v>162</v>
      </c>
      <c r="F96" s="30">
        <v>348</v>
      </c>
      <c r="G96" s="30">
        <v>0</v>
      </c>
      <c r="H96" s="30">
        <v>0</v>
      </c>
      <c r="I96" s="30">
        <v>0</v>
      </c>
      <c r="J96" s="30">
        <v>0</v>
      </c>
      <c r="K96" s="30">
        <v>1</v>
      </c>
      <c r="L96" s="30">
        <v>1</v>
      </c>
    </row>
    <row r="97" spans="1:12" x14ac:dyDescent="0.4">
      <c r="A97" s="30">
        <v>31</v>
      </c>
      <c r="B97" s="30">
        <v>1</v>
      </c>
      <c r="C97" s="30">
        <v>0.78600000000000003</v>
      </c>
      <c r="D97" s="30">
        <v>7.2400000000000006E-2</v>
      </c>
      <c r="E97" s="30">
        <v>128</v>
      </c>
      <c r="F97" s="30">
        <v>158</v>
      </c>
      <c r="G97" s="30">
        <v>0</v>
      </c>
      <c r="H97" s="30">
        <v>0</v>
      </c>
      <c r="I97" s="30">
        <v>0</v>
      </c>
      <c r="J97" s="30">
        <v>0</v>
      </c>
      <c r="K97" s="30">
        <v>0</v>
      </c>
      <c r="L97" s="30">
        <v>0</v>
      </c>
    </row>
    <row r="98" spans="1:12" x14ac:dyDescent="0.4">
      <c r="A98" s="30">
        <v>45</v>
      </c>
      <c r="B98" s="30">
        <v>42</v>
      </c>
      <c r="C98" s="30">
        <v>0.51700000000000002</v>
      </c>
      <c r="D98" s="30">
        <v>0.115</v>
      </c>
      <c r="E98" s="30">
        <v>151</v>
      </c>
      <c r="F98" s="30">
        <v>221</v>
      </c>
      <c r="G98" s="30">
        <v>0</v>
      </c>
      <c r="H98" s="30">
        <v>0</v>
      </c>
      <c r="I98" s="30">
        <v>0</v>
      </c>
      <c r="J98" s="30">
        <v>0</v>
      </c>
      <c r="K98" s="30">
        <v>1</v>
      </c>
      <c r="L98" s="30">
        <v>0</v>
      </c>
    </row>
    <row r="99" spans="1:12" x14ac:dyDescent="0.4">
      <c r="A99" s="30">
        <v>42</v>
      </c>
      <c r="B99" s="30">
        <v>33</v>
      </c>
      <c r="C99" s="30">
        <v>0.56499999999999995</v>
      </c>
      <c r="D99" s="30">
        <v>4.41E-2</v>
      </c>
      <c r="E99" s="30">
        <v>112</v>
      </c>
      <c r="F99" s="30">
        <v>233</v>
      </c>
      <c r="G99" s="30">
        <v>0</v>
      </c>
      <c r="H99" s="30">
        <v>0</v>
      </c>
      <c r="I99" s="30">
        <v>0</v>
      </c>
      <c r="J99" s="30">
        <v>0</v>
      </c>
      <c r="K99" s="30">
        <v>1</v>
      </c>
      <c r="L99" s="30">
        <v>0</v>
      </c>
    </row>
    <row r="100" spans="1:12" x14ac:dyDescent="0.4">
      <c r="A100" s="30">
        <v>78</v>
      </c>
      <c r="B100" s="30">
        <v>2</v>
      </c>
      <c r="C100" s="30">
        <v>0.90600000000000003</v>
      </c>
      <c r="D100" s="30">
        <v>0.18</v>
      </c>
      <c r="E100" s="30">
        <v>104</v>
      </c>
      <c r="F100" s="30">
        <v>129</v>
      </c>
      <c r="G100" s="30">
        <v>0</v>
      </c>
      <c r="H100" s="30">
        <v>1</v>
      </c>
      <c r="I100" s="30">
        <v>0</v>
      </c>
      <c r="J100" s="30">
        <v>0</v>
      </c>
      <c r="K100" s="30">
        <v>0</v>
      </c>
      <c r="L100" s="30">
        <v>1</v>
      </c>
    </row>
    <row r="101" spans="1:12" x14ac:dyDescent="0.4">
      <c r="A101" s="30">
        <v>55</v>
      </c>
      <c r="B101" s="30">
        <v>1</v>
      </c>
      <c r="C101" s="30">
        <v>0.59799999999999998</v>
      </c>
      <c r="D101" s="30">
        <v>6.5500000000000003E-2</v>
      </c>
      <c r="E101" s="30">
        <v>114</v>
      </c>
      <c r="F101" s="30">
        <v>230</v>
      </c>
      <c r="G101" s="30">
        <v>0</v>
      </c>
      <c r="H101" s="30">
        <v>0</v>
      </c>
      <c r="I101" s="30">
        <v>0</v>
      </c>
      <c r="J101" s="30">
        <v>1</v>
      </c>
      <c r="K101" s="30">
        <v>0</v>
      </c>
      <c r="L101" s="30">
        <v>0</v>
      </c>
    </row>
    <row r="102" spans="1:12" x14ac:dyDescent="0.4">
      <c r="A102" s="30">
        <v>19</v>
      </c>
      <c r="B102" s="30">
        <v>5</v>
      </c>
      <c r="C102" s="30">
        <v>0.63900000000000001</v>
      </c>
      <c r="D102" s="30">
        <v>6.3200000000000006E-2</v>
      </c>
      <c r="E102" s="30">
        <v>123</v>
      </c>
      <c r="F102" s="30">
        <v>235</v>
      </c>
      <c r="G102" s="30">
        <v>0</v>
      </c>
      <c r="H102" s="30">
        <v>1</v>
      </c>
      <c r="I102" s="30">
        <v>0</v>
      </c>
      <c r="J102" s="30">
        <v>0</v>
      </c>
      <c r="K102" s="30">
        <v>0</v>
      </c>
      <c r="L102" s="30">
        <v>0</v>
      </c>
    </row>
    <row r="103" spans="1:12" x14ac:dyDescent="0.4">
      <c r="A103" s="30">
        <v>8</v>
      </c>
      <c r="B103" s="30">
        <v>1</v>
      </c>
      <c r="C103" s="30">
        <v>0.80100000000000005</v>
      </c>
      <c r="D103" s="30">
        <v>9.2600000000000001E-5</v>
      </c>
      <c r="E103" s="30">
        <v>120</v>
      </c>
      <c r="F103" s="30">
        <v>260</v>
      </c>
      <c r="G103" s="30">
        <v>0</v>
      </c>
      <c r="H103" s="30">
        <v>0</v>
      </c>
      <c r="I103" s="30">
        <v>0</v>
      </c>
      <c r="J103" s="30">
        <v>0</v>
      </c>
      <c r="K103" s="30">
        <v>0</v>
      </c>
      <c r="L103" s="30">
        <v>0</v>
      </c>
    </row>
    <row r="104" spans="1:12" x14ac:dyDescent="0.4">
      <c r="A104" s="30">
        <v>57</v>
      </c>
      <c r="B104" s="30">
        <v>43</v>
      </c>
      <c r="C104" s="30">
        <v>0.65100000000000002</v>
      </c>
      <c r="D104" s="30">
        <v>0.16700000000000001</v>
      </c>
      <c r="E104" s="30">
        <v>97</v>
      </c>
      <c r="F104" s="30">
        <v>226</v>
      </c>
      <c r="G104" s="30">
        <v>0</v>
      </c>
      <c r="H104" s="30">
        <v>0</v>
      </c>
      <c r="I104" s="30">
        <v>0</v>
      </c>
      <c r="J104" s="30">
        <v>0</v>
      </c>
      <c r="K104" s="30">
        <v>1</v>
      </c>
      <c r="L104" s="30">
        <v>0</v>
      </c>
    </row>
    <row r="105" spans="1:12" x14ac:dyDescent="0.4">
      <c r="A105" s="30">
        <v>50</v>
      </c>
      <c r="B105" s="30">
        <v>2</v>
      </c>
      <c r="C105" s="30">
        <v>0.748</v>
      </c>
      <c r="D105" s="30">
        <v>0.21099999999999999</v>
      </c>
      <c r="E105" s="30">
        <v>80</v>
      </c>
      <c r="F105" s="30">
        <v>158</v>
      </c>
      <c r="G105" s="30">
        <v>1</v>
      </c>
      <c r="H105" s="30">
        <v>0</v>
      </c>
      <c r="I105" s="30">
        <v>0</v>
      </c>
      <c r="J105" s="30">
        <v>0</v>
      </c>
      <c r="K105" s="30">
        <v>0</v>
      </c>
      <c r="L105" s="30">
        <v>1</v>
      </c>
    </row>
    <row r="106" spans="1:12" x14ac:dyDescent="0.4">
      <c r="A106" s="30">
        <v>43</v>
      </c>
      <c r="B106" s="30">
        <v>1</v>
      </c>
      <c r="C106" s="30">
        <v>0.77100000000000002</v>
      </c>
      <c r="D106" s="30">
        <v>0.26</v>
      </c>
      <c r="E106" s="30">
        <v>170</v>
      </c>
      <c r="F106" s="30">
        <v>242</v>
      </c>
      <c r="G106" s="30">
        <v>1</v>
      </c>
      <c r="H106" s="30">
        <v>0</v>
      </c>
      <c r="I106" s="30">
        <v>0</v>
      </c>
      <c r="J106" s="30">
        <v>0</v>
      </c>
      <c r="K106" s="30">
        <v>0</v>
      </c>
      <c r="L106" s="30">
        <v>1</v>
      </c>
    </row>
    <row r="107" spans="1:12" x14ac:dyDescent="0.4">
      <c r="A107" s="30">
        <v>26</v>
      </c>
      <c r="B107" s="30">
        <v>6</v>
      </c>
      <c r="C107" s="30">
        <v>0.41499999999999998</v>
      </c>
      <c r="D107" s="30">
        <v>8.3600000000000005E-4</v>
      </c>
      <c r="E107" s="30">
        <v>136</v>
      </c>
      <c r="F107" s="30">
        <v>256</v>
      </c>
      <c r="G107" s="30">
        <v>0</v>
      </c>
      <c r="H107" s="30">
        <v>0</v>
      </c>
      <c r="I107" s="30">
        <v>1</v>
      </c>
      <c r="J107" s="30">
        <v>0</v>
      </c>
      <c r="K107" s="30">
        <v>0</v>
      </c>
      <c r="L107" s="30">
        <v>0</v>
      </c>
    </row>
    <row r="108" spans="1:12" x14ac:dyDescent="0.4">
      <c r="A108" s="30">
        <v>49</v>
      </c>
      <c r="B108" s="30">
        <v>33</v>
      </c>
      <c r="C108" s="30">
        <v>0.54300000000000004</v>
      </c>
      <c r="D108" s="30">
        <v>2.5899999999999999E-2</v>
      </c>
      <c r="E108" s="30">
        <v>170</v>
      </c>
      <c r="F108" s="30">
        <v>258</v>
      </c>
      <c r="G108" s="30">
        <v>0</v>
      </c>
      <c r="H108" s="30">
        <v>0</v>
      </c>
      <c r="I108" s="30">
        <v>1</v>
      </c>
      <c r="J108" s="30">
        <v>0</v>
      </c>
      <c r="K108" s="30">
        <v>0</v>
      </c>
      <c r="L108" s="30">
        <v>0</v>
      </c>
    </row>
    <row r="109" spans="1:12" x14ac:dyDescent="0.4">
      <c r="A109" s="30">
        <v>11</v>
      </c>
      <c r="B109" s="30">
        <v>53</v>
      </c>
      <c r="C109" s="30">
        <v>0.505</v>
      </c>
      <c r="D109" s="30">
        <v>8.9700000000000002E-2</v>
      </c>
      <c r="E109" s="30">
        <v>106</v>
      </c>
      <c r="F109" s="30">
        <v>176</v>
      </c>
      <c r="G109" s="30">
        <v>0</v>
      </c>
      <c r="H109" s="30">
        <v>0</v>
      </c>
      <c r="I109" s="30">
        <v>0</v>
      </c>
      <c r="J109" s="30">
        <v>0</v>
      </c>
      <c r="K109" s="30">
        <v>1</v>
      </c>
      <c r="L109" s="30">
        <v>1</v>
      </c>
    </row>
    <row r="110" spans="1:12" x14ac:dyDescent="0.4">
      <c r="A110" s="30">
        <v>38</v>
      </c>
      <c r="B110" s="30">
        <v>24</v>
      </c>
      <c r="C110" s="30">
        <v>0.39400000000000002</v>
      </c>
      <c r="D110" s="30">
        <v>0.33900000000000002</v>
      </c>
      <c r="E110" s="30">
        <v>178</v>
      </c>
      <c r="F110" s="30">
        <v>384</v>
      </c>
      <c r="G110" s="30">
        <v>0</v>
      </c>
      <c r="H110" s="30">
        <v>0</v>
      </c>
      <c r="I110" s="30">
        <v>0</v>
      </c>
      <c r="J110" s="30">
        <v>0</v>
      </c>
      <c r="K110" s="30">
        <v>1</v>
      </c>
      <c r="L110" s="30">
        <v>1</v>
      </c>
    </row>
    <row r="111" spans="1:12" x14ac:dyDescent="0.4">
      <c r="A111" s="30">
        <v>6</v>
      </c>
      <c r="B111" s="30">
        <v>5</v>
      </c>
      <c r="C111" s="30">
        <v>0.5</v>
      </c>
      <c r="D111" s="30">
        <v>3.6200000000000003E-2</v>
      </c>
      <c r="E111" s="30">
        <v>126</v>
      </c>
      <c r="F111" s="30">
        <v>210</v>
      </c>
      <c r="G111" s="30">
        <v>0</v>
      </c>
      <c r="H111" s="30">
        <v>0</v>
      </c>
      <c r="I111" s="30">
        <v>0</v>
      </c>
      <c r="J111" s="30">
        <v>0</v>
      </c>
      <c r="K111" s="30">
        <v>0</v>
      </c>
      <c r="L111" s="30">
        <v>0</v>
      </c>
    </row>
    <row r="112" spans="1:12" x14ac:dyDescent="0.4">
      <c r="A112" s="30">
        <v>27</v>
      </c>
      <c r="B112" s="30">
        <v>17</v>
      </c>
      <c r="C112" s="30">
        <v>0.752</v>
      </c>
      <c r="D112" s="30">
        <v>2.2800000000000001E-2</v>
      </c>
      <c r="E112" s="30">
        <v>106</v>
      </c>
      <c r="F112" s="30">
        <v>245</v>
      </c>
      <c r="G112" s="30">
        <v>0</v>
      </c>
      <c r="H112" s="30">
        <v>0</v>
      </c>
      <c r="I112" s="30">
        <v>1</v>
      </c>
      <c r="J112" s="30">
        <v>0</v>
      </c>
      <c r="K112" s="30">
        <v>0</v>
      </c>
      <c r="L112" s="30">
        <v>0</v>
      </c>
    </row>
    <row r="113" spans="1:12" x14ac:dyDescent="0.4">
      <c r="A113" s="30">
        <v>72</v>
      </c>
      <c r="B113" s="30">
        <v>13</v>
      </c>
      <c r="C113" s="30">
        <v>0.44700000000000001</v>
      </c>
      <c r="D113" s="30">
        <v>2.93E-2</v>
      </c>
      <c r="E113" s="30">
        <v>176</v>
      </c>
      <c r="F113" s="30">
        <v>228</v>
      </c>
      <c r="G113" s="30">
        <v>0</v>
      </c>
      <c r="H113" s="30">
        <v>1</v>
      </c>
      <c r="I113" s="30">
        <v>0</v>
      </c>
      <c r="J113" s="30">
        <v>0</v>
      </c>
      <c r="K113" s="30">
        <v>0</v>
      </c>
      <c r="L113" s="30">
        <v>0</v>
      </c>
    </row>
    <row r="114" spans="1:12" x14ac:dyDescent="0.4">
      <c r="A114" s="30">
        <v>53</v>
      </c>
      <c r="B114" s="30">
        <v>40</v>
      </c>
      <c r="C114" s="30">
        <v>0.63300000000000001</v>
      </c>
      <c r="D114" s="30">
        <v>0.34</v>
      </c>
      <c r="E114" s="30">
        <v>81</v>
      </c>
      <c r="F114" s="30">
        <v>355</v>
      </c>
      <c r="G114" s="30">
        <v>0</v>
      </c>
      <c r="H114" s="30">
        <v>0</v>
      </c>
      <c r="I114" s="30">
        <v>0</v>
      </c>
      <c r="J114" s="30">
        <v>0</v>
      </c>
      <c r="K114" s="30">
        <v>1</v>
      </c>
      <c r="L114" s="30">
        <v>0</v>
      </c>
    </row>
    <row r="115" spans="1:12" x14ac:dyDescent="0.4">
      <c r="A115" s="30">
        <v>81</v>
      </c>
      <c r="B115" s="30">
        <v>1</v>
      </c>
      <c r="C115" s="30">
        <v>0.56100000000000005</v>
      </c>
      <c r="D115" s="30">
        <v>0.106</v>
      </c>
      <c r="E115" s="30">
        <v>160</v>
      </c>
      <c r="F115" s="30">
        <v>219</v>
      </c>
      <c r="G115" s="30">
        <v>0</v>
      </c>
      <c r="H115" s="30">
        <v>1</v>
      </c>
      <c r="I115" s="30">
        <v>0</v>
      </c>
      <c r="J115" s="30">
        <v>0</v>
      </c>
      <c r="K115" s="30">
        <v>0</v>
      </c>
      <c r="L115" s="30">
        <v>0</v>
      </c>
    </row>
    <row r="116" spans="1:12" x14ac:dyDescent="0.4">
      <c r="A116" s="30">
        <v>50</v>
      </c>
      <c r="B116" s="30">
        <v>1</v>
      </c>
      <c r="C116" s="30">
        <v>0.44800000000000001</v>
      </c>
      <c r="D116" s="30">
        <v>1.72E-3</v>
      </c>
      <c r="E116" s="30">
        <v>128</v>
      </c>
      <c r="F116" s="30">
        <v>218</v>
      </c>
      <c r="G116" s="30">
        <v>0</v>
      </c>
      <c r="H116" s="30">
        <v>0</v>
      </c>
      <c r="I116" s="30">
        <v>0</v>
      </c>
      <c r="J116" s="30">
        <v>0</v>
      </c>
      <c r="K116" s="30">
        <v>0</v>
      </c>
      <c r="L116" s="30">
        <v>0</v>
      </c>
    </row>
    <row r="117" spans="1:12" x14ac:dyDescent="0.4">
      <c r="A117" s="30">
        <v>52</v>
      </c>
      <c r="B117" s="30">
        <v>6</v>
      </c>
      <c r="C117" s="30">
        <v>0.83</v>
      </c>
      <c r="D117" s="30">
        <v>0.188</v>
      </c>
      <c r="E117" s="30">
        <v>90</v>
      </c>
      <c r="F117" s="30">
        <v>215</v>
      </c>
      <c r="G117" s="30">
        <v>0</v>
      </c>
      <c r="H117" s="30">
        <v>0</v>
      </c>
      <c r="I117" s="30">
        <v>1</v>
      </c>
      <c r="J117" s="30">
        <v>0</v>
      </c>
      <c r="K117" s="30">
        <v>0</v>
      </c>
      <c r="L117" s="30">
        <v>0</v>
      </c>
    </row>
    <row r="118" spans="1:12" x14ac:dyDescent="0.4">
      <c r="A118" s="30">
        <v>44</v>
      </c>
      <c r="B118" s="30">
        <v>2</v>
      </c>
      <c r="C118" s="30">
        <v>0.46800000000000003</v>
      </c>
      <c r="D118" s="30">
        <v>0.21</v>
      </c>
      <c r="E118" s="30">
        <v>133</v>
      </c>
      <c r="F118" s="30">
        <v>168</v>
      </c>
      <c r="G118" s="30">
        <v>0</v>
      </c>
      <c r="H118" s="30">
        <v>0</v>
      </c>
      <c r="I118" s="30">
        <v>0</v>
      </c>
      <c r="J118" s="30">
        <v>1</v>
      </c>
      <c r="K118" s="30">
        <v>0</v>
      </c>
      <c r="L118" s="30">
        <v>0</v>
      </c>
    </row>
    <row r="119" spans="1:12" x14ac:dyDescent="0.4">
      <c r="A119" s="30">
        <v>34</v>
      </c>
      <c r="B119" s="30">
        <v>6</v>
      </c>
      <c r="C119" s="30">
        <v>0.53600000000000003</v>
      </c>
      <c r="D119" s="30">
        <v>1.6899999999999999E-4</v>
      </c>
      <c r="E119" s="30">
        <v>128</v>
      </c>
      <c r="F119" s="30">
        <v>306</v>
      </c>
      <c r="G119" s="30">
        <v>0</v>
      </c>
      <c r="H119" s="30">
        <v>0</v>
      </c>
      <c r="I119" s="30">
        <v>0</v>
      </c>
      <c r="J119" s="30">
        <v>0</v>
      </c>
      <c r="K119" s="30">
        <v>0</v>
      </c>
      <c r="L119" s="30">
        <v>0</v>
      </c>
    </row>
    <row r="120" spans="1:12" x14ac:dyDescent="0.4">
      <c r="A120" s="30">
        <v>68</v>
      </c>
      <c r="B120" s="30">
        <v>16</v>
      </c>
      <c r="C120" s="30">
        <v>0.42099999999999999</v>
      </c>
      <c r="D120" s="30">
        <v>1.34E-2</v>
      </c>
      <c r="E120" s="30">
        <v>173</v>
      </c>
      <c r="F120" s="30">
        <v>207</v>
      </c>
      <c r="G120" s="30">
        <v>0</v>
      </c>
      <c r="H120" s="30">
        <v>0</v>
      </c>
      <c r="I120" s="30">
        <v>0</v>
      </c>
      <c r="J120" s="30">
        <v>0</v>
      </c>
      <c r="K120" s="30">
        <v>1</v>
      </c>
      <c r="L120" s="30">
        <v>0</v>
      </c>
    </row>
    <row r="121" spans="1:12" x14ac:dyDescent="0.4">
      <c r="A121" s="30">
        <v>43</v>
      </c>
      <c r="B121" s="30">
        <v>2</v>
      </c>
      <c r="C121" s="30">
        <v>0.72199999999999998</v>
      </c>
      <c r="D121" s="30">
        <v>6.6199999999999995E-2</v>
      </c>
      <c r="E121" s="30">
        <v>110</v>
      </c>
      <c r="F121" s="30">
        <v>195</v>
      </c>
      <c r="G121" s="30">
        <v>0</v>
      </c>
      <c r="H121" s="30">
        <v>1</v>
      </c>
      <c r="I121" s="30">
        <v>0</v>
      </c>
      <c r="J121" s="30">
        <v>0</v>
      </c>
      <c r="K121" s="30">
        <v>0</v>
      </c>
      <c r="L121" s="30">
        <v>0</v>
      </c>
    </row>
    <row r="122" spans="1:12" x14ac:dyDescent="0.4">
      <c r="A122" s="30">
        <v>77</v>
      </c>
      <c r="B122" s="30">
        <v>1</v>
      </c>
      <c r="C122" s="30">
        <v>0.36</v>
      </c>
      <c r="D122" s="30">
        <v>1.7100000000000001E-2</v>
      </c>
      <c r="E122" s="30">
        <v>107</v>
      </c>
      <c r="F122" s="30">
        <v>186</v>
      </c>
      <c r="G122" s="30">
        <v>0</v>
      </c>
      <c r="H122" s="30">
        <v>0</v>
      </c>
      <c r="I122" s="30">
        <v>0</v>
      </c>
      <c r="J122" s="30">
        <v>0</v>
      </c>
      <c r="K122" s="30">
        <v>0</v>
      </c>
      <c r="L122" s="30">
        <v>0</v>
      </c>
    </row>
    <row r="123" spans="1:12" x14ac:dyDescent="0.4">
      <c r="A123" s="30">
        <v>46</v>
      </c>
      <c r="B123" s="30">
        <v>18</v>
      </c>
      <c r="C123" s="30">
        <v>0.69099999999999995</v>
      </c>
      <c r="D123" s="30">
        <v>0.28399999999999997</v>
      </c>
      <c r="E123" s="30">
        <v>96</v>
      </c>
      <c r="F123" s="30">
        <v>210</v>
      </c>
      <c r="G123" s="30">
        <v>0</v>
      </c>
      <c r="H123" s="30">
        <v>0</v>
      </c>
      <c r="I123" s="30">
        <v>1</v>
      </c>
      <c r="J123" s="30">
        <v>0</v>
      </c>
      <c r="K123" s="30">
        <v>0</v>
      </c>
      <c r="L123" s="30">
        <v>1</v>
      </c>
    </row>
    <row r="124" spans="1:12" x14ac:dyDescent="0.4">
      <c r="A124" s="30">
        <v>56</v>
      </c>
      <c r="B124" s="30">
        <v>1</v>
      </c>
      <c r="C124" s="30">
        <v>0.77500000000000002</v>
      </c>
      <c r="D124" s="30">
        <v>0.35499999999999998</v>
      </c>
      <c r="E124" s="30">
        <v>128</v>
      </c>
      <c r="F124" s="30">
        <v>169</v>
      </c>
      <c r="G124" s="30">
        <v>0</v>
      </c>
      <c r="H124" s="30">
        <v>0</v>
      </c>
      <c r="I124" s="30">
        <v>0</v>
      </c>
      <c r="J124" s="30">
        <v>1</v>
      </c>
      <c r="K124" s="30">
        <v>0</v>
      </c>
      <c r="L124" s="30">
        <v>1</v>
      </c>
    </row>
    <row r="125" spans="1:12" x14ac:dyDescent="0.4">
      <c r="A125" s="30">
        <v>12</v>
      </c>
      <c r="B125" s="30">
        <v>3</v>
      </c>
      <c r="C125" s="30">
        <v>0.41399999999999998</v>
      </c>
      <c r="D125" s="30">
        <v>1.1599999999999999E-2</v>
      </c>
      <c r="E125" s="30">
        <v>117</v>
      </c>
      <c r="F125" s="30">
        <v>195</v>
      </c>
      <c r="G125" s="30">
        <v>0</v>
      </c>
      <c r="H125" s="30">
        <v>0</v>
      </c>
      <c r="I125" s="30">
        <v>0</v>
      </c>
      <c r="J125" s="30">
        <v>0</v>
      </c>
      <c r="K125" s="30">
        <v>0</v>
      </c>
      <c r="L125" s="30">
        <v>0</v>
      </c>
    </row>
    <row r="126" spans="1:12" x14ac:dyDescent="0.4">
      <c r="A126" s="30">
        <v>44</v>
      </c>
      <c r="B126" s="30">
        <v>17</v>
      </c>
      <c r="C126" s="30">
        <v>0.81899999999999995</v>
      </c>
      <c r="D126" s="30">
        <v>1.66E-3</v>
      </c>
      <c r="E126" s="30">
        <v>78</v>
      </c>
      <c r="F126" s="30">
        <v>237</v>
      </c>
      <c r="G126" s="30">
        <v>0</v>
      </c>
      <c r="H126" s="30">
        <v>0</v>
      </c>
      <c r="I126" s="30">
        <v>0</v>
      </c>
      <c r="J126" s="30">
        <v>1</v>
      </c>
      <c r="K126" s="30">
        <v>0</v>
      </c>
      <c r="L126" s="30">
        <v>0</v>
      </c>
    </row>
    <row r="127" spans="1:12" x14ac:dyDescent="0.4">
      <c r="A127" s="30">
        <v>18</v>
      </c>
      <c r="B127" s="30">
        <v>21</v>
      </c>
      <c r="C127" s="30">
        <v>0.81399999999999995</v>
      </c>
      <c r="D127" s="30">
        <v>0.17499999999999999</v>
      </c>
      <c r="E127" s="30">
        <v>93</v>
      </c>
      <c r="F127" s="30">
        <v>268</v>
      </c>
      <c r="G127" s="30">
        <v>0</v>
      </c>
      <c r="H127" s="30">
        <v>0</v>
      </c>
      <c r="I127" s="30">
        <v>0</v>
      </c>
      <c r="J127" s="30">
        <v>1</v>
      </c>
      <c r="K127" s="30">
        <v>0</v>
      </c>
      <c r="L127" s="30">
        <v>0</v>
      </c>
    </row>
    <row r="128" spans="1:12" x14ac:dyDescent="0.4">
      <c r="A128" s="30">
        <v>23</v>
      </c>
      <c r="B128" s="30">
        <v>1</v>
      </c>
      <c r="C128" s="30">
        <v>0.71199999999999997</v>
      </c>
      <c r="D128" s="30">
        <v>1.2200000000000001E-2</v>
      </c>
      <c r="E128" s="30">
        <v>105</v>
      </c>
      <c r="F128" s="30">
        <v>202</v>
      </c>
      <c r="G128" s="30">
        <v>0</v>
      </c>
      <c r="H128" s="30">
        <v>0</v>
      </c>
      <c r="I128" s="30">
        <v>0</v>
      </c>
      <c r="J128" s="30">
        <v>0</v>
      </c>
      <c r="K128" s="30">
        <v>0</v>
      </c>
      <c r="L128" s="30">
        <v>0</v>
      </c>
    </row>
    <row r="129" spans="1:12" x14ac:dyDescent="0.4">
      <c r="A129" s="30">
        <v>50</v>
      </c>
      <c r="B129" s="30">
        <v>3</v>
      </c>
      <c r="C129" s="30">
        <v>0.64200000000000002</v>
      </c>
      <c r="D129" s="30">
        <v>2.6100000000000002E-2</v>
      </c>
      <c r="E129" s="30">
        <v>96</v>
      </c>
      <c r="F129" s="30">
        <v>215</v>
      </c>
      <c r="G129" s="30">
        <v>0</v>
      </c>
      <c r="H129" s="30">
        <v>0</v>
      </c>
      <c r="I129" s="30">
        <v>0</v>
      </c>
      <c r="J129" s="30">
        <v>0</v>
      </c>
      <c r="K129" s="30">
        <v>0</v>
      </c>
      <c r="L129" s="30">
        <v>0</v>
      </c>
    </row>
    <row r="130" spans="1:12" x14ac:dyDescent="0.4">
      <c r="A130" s="30">
        <v>8</v>
      </c>
      <c r="B130" s="30">
        <v>2</v>
      </c>
      <c r="C130" s="30">
        <v>0.755</v>
      </c>
      <c r="D130" s="30">
        <v>5.0299999999999997E-3</v>
      </c>
      <c r="E130" s="30">
        <v>123</v>
      </c>
      <c r="F130" s="30">
        <v>315</v>
      </c>
      <c r="G130" s="30">
        <v>1</v>
      </c>
      <c r="H130" s="30">
        <v>0</v>
      </c>
      <c r="I130" s="30">
        <v>0</v>
      </c>
      <c r="J130" s="30">
        <v>0</v>
      </c>
      <c r="K130" s="30">
        <v>0</v>
      </c>
      <c r="L130" s="30">
        <v>0</v>
      </c>
    </row>
    <row r="131" spans="1:12" x14ac:dyDescent="0.4">
      <c r="A131" s="30">
        <v>39</v>
      </c>
      <c r="B131" s="30">
        <v>1</v>
      </c>
      <c r="C131" s="30">
        <v>0.71299999999999997</v>
      </c>
      <c r="D131" s="30">
        <v>3.7599999999999999E-3</v>
      </c>
      <c r="E131" s="30">
        <v>127</v>
      </c>
      <c r="F131" s="30">
        <v>189</v>
      </c>
      <c r="G131" s="30">
        <v>0</v>
      </c>
      <c r="H131" s="30">
        <v>0</v>
      </c>
      <c r="I131" s="30">
        <v>0</v>
      </c>
      <c r="J131" s="30">
        <v>0</v>
      </c>
      <c r="K131" s="30">
        <v>0</v>
      </c>
      <c r="L131" s="30">
        <v>0</v>
      </c>
    </row>
    <row r="132" spans="1:12" x14ac:dyDescent="0.4">
      <c r="A132" s="30">
        <v>54</v>
      </c>
      <c r="B132" s="30">
        <v>10</v>
      </c>
      <c r="C132" s="30">
        <v>0.68100000000000005</v>
      </c>
      <c r="D132" s="30">
        <v>3.3400000000000001E-3</v>
      </c>
      <c r="E132" s="30">
        <v>118</v>
      </c>
      <c r="F132" s="30">
        <v>316</v>
      </c>
      <c r="G132" s="30">
        <v>0</v>
      </c>
      <c r="H132" s="30">
        <v>1</v>
      </c>
      <c r="I132" s="30">
        <v>0</v>
      </c>
      <c r="J132" s="30">
        <v>0</v>
      </c>
      <c r="K132" s="30">
        <v>0</v>
      </c>
      <c r="L132" s="30">
        <v>0</v>
      </c>
    </row>
    <row r="133" spans="1:12" x14ac:dyDescent="0.4">
      <c r="A133" s="30">
        <v>76</v>
      </c>
      <c r="B133" s="30">
        <v>3</v>
      </c>
      <c r="C133" s="30">
        <v>0.69599999999999995</v>
      </c>
      <c r="D133" s="30">
        <v>7.4999999999999997E-2</v>
      </c>
      <c r="E133" s="30">
        <v>98</v>
      </c>
      <c r="F133" s="30">
        <v>216</v>
      </c>
      <c r="G133" s="30">
        <v>0</v>
      </c>
      <c r="H133" s="30">
        <v>1</v>
      </c>
      <c r="I133" s="30">
        <v>0</v>
      </c>
      <c r="J133" s="30">
        <v>0</v>
      </c>
      <c r="K133" s="30">
        <v>0</v>
      </c>
      <c r="L133" s="30">
        <v>0</v>
      </c>
    </row>
    <row r="134" spans="1:12" x14ac:dyDescent="0.4">
      <c r="A134" s="30">
        <v>50</v>
      </c>
      <c r="B134" s="30">
        <v>26</v>
      </c>
      <c r="C134" s="30">
        <v>0.40899999999999997</v>
      </c>
      <c r="D134" s="30">
        <v>4.28E-3</v>
      </c>
      <c r="E134" s="30">
        <v>174</v>
      </c>
      <c r="F134" s="30">
        <v>224</v>
      </c>
      <c r="G134" s="30">
        <v>0</v>
      </c>
      <c r="H134" s="30">
        <v>0</v>
      </c>
      <c r="I134" s="30">
        <v>0</v>
      </c>
      <c r="J134" s="30">
        <v>0</v>
      </c>
      <c r="K134" s="30">
        <v>1</v>
      </c>
      <c r="L134" s="30">
        <v>0</v>
      </c>
    </row>
    <row r="135" spans="1:12" x14ac:dyDescent="0.4">
      <c r="A135" s="30">
        <v>44</v>
      </c>
      <c r="B135" s="30">
        <v>6</v>
      </c>
      <c r="C135" s="30">
        <v>0.56899999999999995</v>
      </c>
      <c r="D135" s="30">
        <v>0.16600000000000001</v>
      </c>
      <c r="E135" s="30">
        <v>105</v>
      </c>
      <c r="F135" s="30">
        <v>227</v>
      </c>
      <c r="G135" s="30">
        <v>0</v>
      </c>
      <c r="H135" s="30">
        <v>0</v>
      </c>
      <c r="I135" s="30">
        <v>0</v>
      </c>
      <c r="J135" s="30">
        <v>0</v>
      </c>
      <c r="K135" s="30">
        <v>1</v>
      </c>
      <c r="L135" s="30">
        <v>1</v>
      </c>
    </row>
    <row r="136" spans="1:12" x14ac:dyDescent="0.4">
      <c r="A136" s="30">
        <v>65</v>
      </c>
      <c r="B136" s="30">
        <v>8</v>
      </c>
      <c r="C136" s="30">
        <v>0.70099999999999996</v>
      </c>
      <c r="D136" s="30">
        <v>8.8800000000000004E-2</v>
      </c>
      <c r="E136" s="30">
        <v>95</v>
      </c>
      <c r="F136" s="30">
        <v>195</v>
      </c>
      <c r="G136" s="30">
        <v>0</v>
      </c>
      <c r="H136" s="30">
        <v>1</v>
      </c>
      <c r="I136" s="30">
        <v>0</v>
      </c>
      <c r="J136" s="30">
        <v>0</v>
      </c>
      <c r="K136" s="30">
        <v>0</v>
      </c>
      <c r="L136" s="30">
        <v>1</v>
      </c>
    </row>
    <row r="137" spans="1:12" x14ac:dyDescent="0.4">
      <c r="A137" s="30">
        <v>55</v>
      </c>
      <c r="B137" s="30">
        <v>9</v>
      </c>
      <c r="C137" s="30">
        <v>0.56999999999999995</v>
      </c>
      <c r="D137" s="30">
        <v>1.04E-2</v>
      </c>
      <c r="E137" s="30">
        <v>115</v>
      </c>
      <c r="F137" s="30">
        <v>215</v>
      </c>
      <c r="G137" s="30">
        <v>0</v>
      </c>
      <c r="H137" s="30">
        <v>1</v>
      </c>
      <c r="I137" s="30">
        <v>0</v>
      </c>
      <c r="J137" s="30">
        <v>0</v>
      </c>
      <c r="K137" s="30">
        <v>0</v>
      </c>
      <c r="L137" s="30">
        <v>0</v>
      </c>
    </row>
    <row r="138" spans="1:12" x14ac:dyDescent="0.4">
      <c r="A138" s="30">
        <v>39</v>
      </c>
      <c r="B138" s="30">
        <v>7</v>
      </c>
      <c r="C138" s="30">
        <v>0.77400000000000002</v>
      </c>
      <c r="D138" s="30">
        <v>1.15E-2</v>
      </c>
      <c r="E138" s="30">
        <v>128</v>
      </c>
      <c r="F138" s="30">
        <v>182</v>
      </c>
      <c r="G138" s="30">
        <v>0</v>
      </c>
      <c r="H138" s="30">
        <v>0</v>
      </c>
      <c r="I138" s="30">
        <v>0</v>
      </c>
      <c r="J138" s="30">
        <v>0</v>
      </c>
      <c r="K138" s="30">
        <v>0</v>
      </c>
      <c r="L138" s="30">
        <v>0</v>
      </c>
    </row>
    <row r="139" spans="1:12" x14ac:dyDescent="0.4">
      <c r="A139" s="30">
        <v>52</v>
      </c>
      <c r="B139" s="30">
        <v>5</v>
      </c>
      <c r="C139" s="30">
        <v>0.77700000000000002</v>
      </c>
      <c r="D139" s="30">
        <v>0.17699999999999999</v>
      </c>
      <c r="E139" s="30">
        <v>128</v>
      </c>
      <c r="F139" s="30">
        <v>189</v>
      </c>
      <c r="G139" s="30">
        <v>0</v>
      </c>
      <c r="H139" s="30">
        <v>0</v>
      </c>
      <c r="I139" s="30">
        <v>1</v>
      </c>
      <c r="J139" s="30">
        <v>0</v>
      </c>
      <c r="K139" s="30">
        <v>0</v>
      </c>
      <c r="L139" s="30">
        <v>0</v>
      </c>
    </row>
    <row r="140" spans="1:12" x14ac:dyDescent="0.4">
      <c r="A140" s="30">
        <v>69</v>
      </c>
      <c r="B140" s="30">
        <v>1</v>
      </c>
      <c r="C140" s="30">
        <v>0.82</v>
      </c>
      <c r="D140" s="30">
        <v>8.5800000000000001E-2</v>
      </c>
      <c r="E140" s="30">
        <v>120</v>
      </c>
      <c r="F140" s="30">
        <v>202</v>
      </c>
      <c r="G140" s="30">
        <v>0</v>
      </c>
      <c r="H140" s="30">
        <v>0</v>
      </c>
      <c r="I140" s="30">
        <v>0</v>
      </c>
      <c r="J140" s="30">
        <v>0</v>
      </c>
      <c r="K140" s="30">
        <v>0</v>
      </c>
      <c r="L140" s="30">
        <v>0</v>
      </c>
    </row>
    <row r="141" spans="1:12" x14ac:dyDescent="0.4">
      <c r="A141" s="30">
        <v>51</v>
      </c>
      <c r="B141" s="30">
        <v>19</v>
      </c>
      <c r="C141" s="30">
        <v>0.44700000000000001</v>
      </c>
      <c r="D141" s="30">
        <v>4.8300000000000003E-2</v>
      </c>
      <c r="E141" s="30">
        <v>133</v>
      </c>
      <c r="F141" s="30">
        <v>319</v>
      </c>
      <c r="G141" s="30">
        <v>0</v>
      </c>
      <c r="H141" s="30">
        <v>0</v>
      </c>
      <c r="I141" s="30">
        <v>0</v>
      </c>
      <c r="J141" s="30">
        <v>0</v>
      </c>
      <c r="K141" s="30">
        <v>1</v>
      </c>
      <c r="L141" s="30">
        <v>0</v>
      </c>
    </row>
    <row r="142" spans="1:12" x14ac:dyDescent="0.4">
      <c r="A142" s="30">
        <v>47</v>
      </c>
      <c r="B142" s="30">
        <v>8</v>
      </c>
      <c r="C142" s="30">
        <v>0.88700000000000001</v>
      </c>
      <c r="D142" s="30">
        <v>1.3300000000000001E-4</v>
      </c>
      <c r="E142" s="30">
        <v>127</v>
      </c>
      <c r="F142" s="30">
        <v>194</v>
      </c>
      <c r="G142" s="30">
        <v>0</v>
      </c>
      <c r="H142" s="30">
        <v>0</v>
      </c>
      <c r="I142" s="30">
        <v>0</v>
      </c>
      <c r="J142" s="30">
        <v>0</v>
      </c>
      <c r="K142" s="30">
        <v>0</v>
      </c>
      <c r="L142" s="30">
        <v>0</v>
      </c>
    </row>
    <row r="143" spans="1:12" x14ac:dyDescent="0.4">
      <c r="A143" s="30">
        <v>64</v>
      </c>
      <c r="B143" s="30">
        <v>3</v>
      </c>
      <c r="C143" s="30">
        <v>0.73399999999999999</v>
      </c>
      <c r="D143" s="30">
        <v>7.5999999999999998E-2</v>
      </c>
      <c r="E143" s="30">
        <v>99</v>
      </c>
      <c r="F143" s="30">
        <v>236</v>
      </c>
      <c r="G143" s="30">
        <v>0</v>
      </c>
      <c r="H143" s="30">
        <v>0</v>
      </c>
      <c r="I143" s="30">
        <v>1</v>
      </c>
      <c r="J143" s="30">
        <v>0</v>
      </c>
      <c r="K143" s="30">
        <v>0</v>
      </c>
      <c r="L143" s="30">
        <v>0</v>
      </c>
    </row>
    <row r="144" spans="1:12" x14ac:dyDescent="0.4">
      <c r="A144" s="30">
        <v>27</v>
      </c>
      <c r="B144" s="30">
        <v>15</v>
      </c>
      <c r="C144" s="30">
        <v>0.60899999999999999</v>
      </c>
      <c r="D144" s="30">
        <v>2.3300000000000001E-2</v>
      </c>
      <c r="E144" s="30">
        <v>128</v>
      </c>
      <c r="F144" s="30">
        <v>256</v>
      </c>
      <c r="G144" s="30">
        <v>0</v>
      </c>
      <c r="H144" s="30">
        <v>0</v>
      </c>
      <c r="I144" s="30">
        <v>1</v>
      </c>
      <c r="J144" s="30">
        <v>0</v>
      </c>
      <c r="K144" s="30">
        <v>0</v>
      </c>
      <c r="L144" s="30">
        <v>0</v>
      </c>
    </row>
    <row r="145" spans="1:12" x14ac:dyDescent="0.4">
      <c r="A145" s="30">
        <v>57</v>
      </c>
      <c r="B145" s="30">
        <v>1</v>
      </c>
      <c r="C145" s="30">
        <v>0.53100000000000003</v>
      </c>
      <c r="D145" s="30">
        <v>2.4299999999999999E-2</v>
      </c>
      <c r="E145" s="30">
        <v>145</v>
      </c>
      <c r="F145" s="30">
        <v>202</v>
      </c>
      <c r="G145" s="30">
        <v>0</v>
      </c>
      <c r="H145" s="30">
        <v>1</v>
      </c>
      <c r="I145" s="30">
        <v>0</v>
      </c>
      <c r="J145" s="30">
        <v>0</v>
      </c>
      <c r="K145" s="30">
        <v>0</v>
      </c>
      <c r="L145" s="30">
        <v>0</v>
      </c>
    </row>
    <row r="146" spans="1:12" x14ac:dyDescent="0.4">
      <c r="A146" s="30">
        <v>25</v>
      </c>
      <c r="B146" s="30">
        <v>8</v>
      </c>
      <c r="C146" s="30">
        <v>0.67500000000000004</v>
      </c>
      <c r="D146" s="30">
        <v>0.14699999999999999</v>
      </c>
      <c r="E146" s="30">
        <v>90</v>
      </c>
      <c r="F146" s="30">
        <v>130</v>
      </c>
      <c r="G146" s="30">
        <v>0</v>
      </c>
      <c r="H146" s="30">
        <v>0</v>
      </c>
      <c r="I146" s="30">
        <v>0</v>
      </c>
      <c r="J146" s="30">
        <v>1</v>
      </c>
      <c r="K146" s="30">
        <v>0</v>
      </c>
      <c r="L146" s="30">
        <v>0</v>
      </c>
    </row>
    <row r="147" spans="1:12" x14ac:dyDescent="0.4">
      <c r="A147" s="30">
        <v>65</v>
      </c>
      <c r="B147" s="30">
        <v>13</v>
      </c>
      <c r="C147" s="30">
        <v>0.84</v>
      </c>
      <c r="D147" s="30">
        <v>0.16</v>
      </c>
      <c r="E147" s="30">
        <v>117</v>
      </c>
      <c r="F147" s="30">
        <v>188</v>
      </c>
      <c r="G147" s="30">
        <v>0</v>
      </c>
      <c r="H147" s="30">
        <v>0</v>
      </c>
      <c r="I147" s="30">
        <v>0</v>
      </c>
      <c r="J147" s="30">
        <v>1</v>
      </c>
      <c r="K147" s="30">
        <v>0</v>
      </c>
      <c r="L147" s="30">
        <v>0</v>
      </c>
    </row>
    <row r="148" spans="1:12" x14ac:dyDescent="0.4">
      <c r="A148" s="30">
        <v>62</v>
      </c>
      <c r="B148" s="30">
        <v>35</v>
      </c>
      <c r="C148" s="30">
        <v>0.34100000000000003</v>
      </c>
      <c r="D148" s="30">
        <v>8.0199999999999998E-5</v>
      </c>
      <c r="E148" s="30">
        <v>121</v>
      </c>
      <c r="F148" s="30">
        <v>182</v>
      </c>
      <c r="G148" s="30">
        <v>0</v>
      </c>
      <c r="H148" s="30">
        <v>0</v>
      </c>
      <c r="I148" s="30">
        <v>0</v>
      </c>
      <c r="J148" s="30">
        <v>0</v>
      </c>
      <c r="K148" s="30">
        <v>1</v>
      </c>
      <c r="L148" s="30">
        <v>0</v>
      </c>
    </row>
    <row r="149" spans="1:12" x14ac:dyDescent="0.4">
      <c r="A149" s="30">
        <v>24</v>
      </c>
      <c r="B149" s="30">
        <v>28</v>
      </c>
      <c r="C149" s="30">
        <v>0.80500000000000005</v>
      </c>
      <c r="D149" s="30">
        <v>3.2500000000000001E-2</v>
      </c>
      <c r="E149" s="30">
        <v>95</v>
      </c>
      <c r="F149" s="30">
        <v>334</v>
      </c>
      <c r="G149" s="30">
        <v>0</v>
      </c>
      <c r="H149" s="30">
        <v>0</v>
      </c>
      <c r="I149" s="30">
        <v>0</v>
      </c>
      <c r="J149" s="30">
        <v>1</v>
      </c>
      <c r="K149" s="30">
        <v>0</v>
      </c>
      <c r="L149" s="30">
        <v>0</v>
      </c>
    </row>
    <row r="150" spans="1:12" x14ac:dyDescent="0.4">
      <c r="A150" s="30">
        <v>48</v>
      </c>
      <c r="B150" s="30">
        <v>13</v>
      </c>
      <c r="C150" s="30">
        <v>0.82199999999999995</v>
      </c>
      <c r="D150" s="30">
        <v>6.1499999999999999E-2</v>
      </c>
      <c r="E150" s="30">
        <v>103</v>
      </c>
      <c r="F150" s="30">
        <v>241</v>
      </c>
      <c r="G150" s="30">
        <v>0</v>
      </c>
      <c r="H150" s="30">
        <v>0</v>
      </c>
      <c r="I150" s="30">
        <v>1</v>
      </c>
      <c r="J150" s="30">
        <v>0</v>
      </c>
      <c r="K150" s="30">
        <v>0</v>
      </c>
      <c r="L150" s="30">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Dictionary</vt:lpstr>
      <vt:lpstr>Data</vt:lpstr>
      <vt:lpstr>Cleansed Data</vt:lpstr>
      <vt:lpstr>Categorical Data</vt:lpstr>
      <vt:lpstr>Numerical Data</vt:lpstr>
      <vt:lpstr>Correlation</vt:lpstr>
      <vt:lpstr>ANOVA</vt:lpstr>
      <vt:lpstr>Dummy Variables</vt:lpstr>
      <vt:lpstr>Regression</vt:lpstr>
      <vt:lpstr>Assumptions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Bigsby, Kristina</dc:creator>
  <cp:keywords/>
  <dc:description/>
  <cp:lastModifiedBy>Bejarano, Ava M</cp:lastModifiedBy>
  <cp:revision/>
  <dcterms:created xsi:type="dcterms:W3CDTF">2025-06-04T19:04:53Z</dcterms:created>
  <dcterms:modified xsi:type="dcterms:W3CDTF">2026-03-25T22:10:04Z</dcterms:modified>
  <cp:category/>
  <cp:contentStatus/>
</cp:coreProperties>
</file>